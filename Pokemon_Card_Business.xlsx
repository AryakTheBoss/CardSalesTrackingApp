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588B382DCF026C0E/Documents/"/>
    </mc:Choice>
  </mc:AlternateContent>
  <xr:revisionPtr revIDLastSave="0" documentId="8_{1EF84857-D81B-4676-8970-A7F36A8A00B2}" xr6:coauthVersionLast="47" xr6:coauthVersionMax="47" xr10:uidLastSave="{00000000-0000-0000-0000-000000000000}"/>
  <bookViews>
    <workbookView xWindow="0" yWindow="780" windowWidth="34200" windowHeight="21460" tabRatio="500" firstSheet="1" activeTab="2" xr2:uid="{00000000-000D-0000-FFFF-FFFF00000000}"/>
  </bookViews>
  <sheets>
    <sheet name="Dashboard" sheetId="1" r:id="rId1"/>
    <sheet name="Slabs Inventory" sheetId="3" r:id="rId2"/>
    <sheet name="Raw Inventory" sheetId="4" r:id="rId3"/>
    <sheet name="All-Time Sold" sheetId="2" r:id="rId4"/>
    <sheet name="Profit Tracking" sheetId="5" r:id="rId5"/>
    <sheet name="Payrol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5" l="1" a="1"/>
  <c r="B9" i="5"/>
  <c r="J6" i="5"/>
  <c r="F15" i="6"/>
  <c r="B8" i="5"/>
  <c r="E111" i="6"/>
  <c r="D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I54" i="5"/>
  <c r="H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54" i="5"/>
  <c r="C203" i="4"/>
  <c r="C13" i="1"/>
  <c r="D202" i="3"/>
  <c r="D202" i="2"/>
  <c r="C9" i="5" a="1"/>
  <c r="C9" i="5"/>
  <c r="C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13" i="1"/>
  <c r="C12" i="1"/>
  <c r="B12" i="1"/>
  <c r="B8" i="1"/>
  <c r="F13" i="2"/>
  <c r="B5" i="1"/>
  <c r="B7" i="5"/>
  <c r="C13" i="5"/>
  <c r="C14" i="5"/>
  <c r="C12" i="5"/>
  <c r="C7" i="5"/>
  <c r="C4" i="5"/>
  <c r="F111" i="6"/>
  <c r="B5" i="5"/>
  <c r="B4" i="5"/>
  <c r="B6" i="5"/>
  <c r="E202" i="2"/>
  <c r="B7" i="1"/>
  <c r="B10" i="5"/>
  <c r="B14" i="5"/>
  <c r="C14" i="1"/>
  <c r="B14" i="1"/>
  <c r="B6" i="1"/>
  <c r="C6" i="5"/>
  <c r="C10" i="5"/>
  <c r="B11" i="5"/>
  <c r="B15" i="5"/>
  <c r="C15" i="5"/>
  <c r="C11" i="5"/>
  <c r="D8" i="5"/>
  <c r="B12" i="5"/>
  <c r="B13" i="5"/>
  <c r="C5" i="5"/>
  <c r="D12" i="5"/>
  <c r="D7" i="5"/>
  <c r="D14" i="5"/>
  <c r="D13" i="5"/>
  <c r="D4" i="5"/>
  <c r="C20" i="1"/>
  <c r="C18" i="1"/>
  <c r="D5" i="5"/>
  <c r="C19" i="1"/>
  <c r="D6" i="5"/>
  <c r="D10" i="5"/>
  <c r="D11" i="5"/>
  <c r="D9" i="5"/>
  <c r="D15" i="5"/>
  <c r="B16" i="5"/>
  <c r="C16" i="5"/>
  <c r="D16" i="5"/>
  <c r="C60" i="5"/>
  <c r="C58" i="5"/>
  <c r="C5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<sst xmlns="http://schemas.openxmlformats.org/spreadsheetml/2006/main" count="296" uniqueCount="177">
  <si>
    <t>🃏  POKÉMON CARD BUSINESS</t>
  </si>
  <si>
    <t>SALES SUMMARY</t>
  </si>
  <si>
    <t>Metric</t>
  </si>
  <si>
    <t>Value</t>
  </si>
  <si>
    <t>Total Buy Price</t>
  </si>
  <si>
    <t>Total Sold Price</t>
  </si>
  <si>
    <t>Total Profit</t>
  </si>
  <si>
    <t>Cards Sold</t>
  </si>
  <si>
    <t>INVENTORY</t>
  </si>
  <si>
    <t>Type</t>
  </si>
  <si>
    <t># Cards</t>
  </si>
  <si>
    <t>Total Cost</t>
  </si>
  <si>
    <t>Slabs</t>
  </si>
  <si>
    <t>Raw</t>
  </si>
  <si>
    <t>Total</t>
  </si>
  <si>
    <t>PROFIT SPLIT</t>
  </si>
  <si>
    <t>Person</t>
  </si>
  <si>
    <t>Split %</t>
  </si>
  <si>
    <t>Profit Owed</t>
  </si>
  <si>
    <t>Boss</t>
  </si>
  <si>
    <t>Hub</t>
  </si>
  <si>
    <t>Tae</t>
  </si>
  <si>
    <t>SLABS INVENTORY (CURRENT)</t>
  </si>
  <si>
    <t>Card Name</t>
  </si>
  <si>
    <t>Grade Co.
(PSA/BGS/CGC)</t>
  </si>
  <si>
    <t>Grade</t>
  </si>
  <si>
    <t>Buy Price ($)</t>
  </si>
  <si>
    <t>Date Purchased</t>
  </si>
  <si>
    <t>Mew ex 151 ultra-premium</t>
  </si>
  <si>
    <t xml:space="preserve">PSA </t>
  </si>
  <si>
    <t>Reshiram Charizard gx jp 016</t>
  </si>
  <si>
    <t>Darkrai vstar gg50</t>
  </si>
  <si>
    <t>PSA</t>
  </si>
  <si>
    <t>Pokemon xy Dragonite 106</t>
  </si>
  <si>
    <t>Blaziken 192</t>
  </si>
  <si>
    <t>deoxys Vmax Crown Zenith gg45</t>
  </si>
  <si>
    <t>Leafeon vstar gg35</t>
  </si>
  <si>
    <t>Mega Gardevoir Ex 178</t>
  </si>
  <si>
    <t xml:space="preserve">Black Bolt ETB PC Box </t>
  </si>
  <si>
    <t>N/A</t>
  </si>
  <si>
    <t>Chinese Gengar 07</t>
  </si>
  <si>
    <t>Chinese Meowth 07</t>
  </si>
  <si>
    <t>Scovillain</t>
  </si>
  <si>
    <t>drampa 184</t>
  </si>
  <si>
    <t xml:space="preserve">Ray V max </t>
  </si>
  <si>
    <t>Zamazenta V gg54</t>
  </si>
  <si>
    <t>teal mask ogerpon</t>
  </si>
  <si>
    <t>CGC</t>
  </si>
  <si>
    <t>Misty's Gyarados</t>
  </si>
  <si>
    <t>Tornadus 210</t>
  </si>
  <si>
    <t>TOTALS</t>
  </si>
  <si>
    <t>RAW INVENTORY (CURRENT)</t>
  </si>
  <si>
    <t xml:space="preserve">Condition
</t>
  </si>
  <si>
    <t xml:space="preserve">Buy Price </t>
  </si>
  <si>
    <t xml:space="preserve">Notes </t>
  </si>
  <si>
    <t>Articuno 2/62</t>
  </si>
  <si>
    <t>NM</t>
  </si>
  <si>
    <t>LP but list at near mint</t>
  </si>
  <si>
    <t>Gengar 11/110</t>
  </si>
  <si>
    <t>Sceptile ex 96</t>
  </si>
  <si>
    <t>LP</t>
  </si>
  <si>
    <t>Magnemite LC 80/110</t>
  </si>
  <si>
    <t xml:space="preserve"> </t>
  </si>
  <si>
    <t>Mewtwo 10</t>
  </si>
  <si>
    <t>LP but push to PSA6 200</t>
  </si>
  <si>
    <t>Pikachu Shadowless Red Cheeks</t>
  </si>
  <si>
    <t xml:space="preserve">PSA 7 $85 ours much nicer </t>
  </si>
  <si>
    <t>Mewtwo Lv X</t>
  </si>
  <si>
    <t>Sabrina's Gengar JP</t>
  </si>
  <si>
    <t>Haunter 027</t>
  </si>
  <si>
    <t>Mega charizard x ex 023</t>
  </si>
  <si>
    <t>pull</t>
  </si>
  <si>
    <t>Alonan Exegutor ex 242</t>
  </si>
  <si>
    <t>Arven Masbostiff ex 235</t>
  </si>
  <si>
    <t>Scolipede 134</t>
  </si>
  <si>
    <t>Zebstrika 115</t>
  </si>
  <si>
    <t>Bulbasaur 133/132 stamped</t>
  </si>
  <si>
    <t>Bulbasaur 133/132</t>
  </si>
  <si>
    <t>Axew 145/086</t>
  </si>
  <si>
    <t>N's Reshriam</t>
  </si>
  <si>
    <t>N's Zoroark ex 189/159</t>
  </si>
  <si>
    <t>Ampharos 090/086</t>
  </si>
  <si>
    <t>Hoopa V GG53</t>
  </si>
  <si>
    <t>Bisharp</t>
  </si>
  <si>
    <t>Golett</t>
  </si>
  <si>
    <t>Throh</t>
  </si>
  <si>
    <t xml:space="preserve">NM </t>
  </si>
  <si>
    <t>Zamazenta</t>
  </si>
  <si>
    <t>TEAM rockets nidoking ex</t>
  </si>
  <si>
    <t>Treeko</t>
  </si>
  <si>
    <t>Munchlax</t>
  </si>
  <si>
    <t>Blaine's charizard jp 006</t>
  </si>
  <si>
    <t>Mew southern island promo  01/18</t>
  </si>
  <si>
    <t>MP</t>
  </si>
  <si>
    <t>?</t>
  </si>
  <si>
    <t>Charizard gx sm60</t>
  </si>
  <si>
    <t>Traded for umbreon prime DMG price at a loss</t>
  </si>
  <si>
    <t>shaymin ex rc21</t>
  </si>
  <si>
    <t>Minun 194</t>
  </si>
  <si>
    <t>riolu 215</t>
  </si>
  <si>
    <t>Team rockets moltres ex 229</t>
  </si>
  <si>
    <t>M charizard ex 13</t>
  </si>
  <si>
    <t>Gardevoir gx sv75</t>
  </si>
  <si>
    <t>M gengar ex 35</t>
  </si>
  <si>
    <t>Mega charizard x ex 109</t>
  </si>
  <si>
    <t>Mega greninja ex 022</t>
  </si>
  <si>
    <t>Xerneas 091</t>
  </si>
  <si>
    <t>Raichu gx 75</t>
  </si>
  <si>
    <t>Mewtwo gx sm196</t>
  </si>
  <si>
    <t>palkia v 167</t>
  </si>
  <si>
    <t xml:space="preserve">charizard v 019 </t>
  </si>
  <si>
    <t>ALL-TIME SOLD</t>
  </si>
  <si>
    <t>Date Sold</t>
  </si>
  <si>
    <t>Sold Price ($)</t>
  </si>
  <si>
    <t>Profit ($)</t>
  </si>
  <si>
    <t>Eevee</t>
  </si>
  <si>
    <t>Meowth</t>
  </si>
  <si>
    <t>9 Meowth and oricorio ex (2 cards)</t>
  </si>
  <si>
    <t>garchomp&amp;giratina tag</t>
  </si>
  <si>
    <t>rocket houndoom</t>
  </si>
  <si>
    <t>alakazam</t>
  </si>
  <si>
    <t xml:space="preserve">Dragonite V volving skies </t>
  </si>
  <si>
    <t xml:space="preserve">Detetive pikachu japenese pre order </t>
  </si>
  <si>
    <t xml:space="preserve">SV2a JP Charmandar </t>
  </si>
  <si>
    <t xml:space="preserve">Zekrom ex special Illustration rare </t>
  </si>
  <si>
    <t xml:space="preserve">Umbreon </t>
  </si>
  <si>
    <t xml:space="preserve">Sylveon </t>
  </si>
  <si>
    <t>reshiram and zekrom tag</t>
  </si>
  <si>
    <t>Mega Lopunny &amp; Jigglypuff</t>
  </si>
  <si>
    <t>mega evo ascended heros box</t>
  </si>
  <si>
    <t>Dialga Lv X 122</t>
  </si>
  <si>
    <t>Charizard ex 199 PSA 9</t>
  </si>
  <si>
    <t>PROFIT TRACKING</t>
  </si>
  <si>
    <t>MONTHLY SUMMARY (2026)</t>
  </si>
  <si>
    <t>PER SHOW LOG</t>
  </si>
  <si>
    <t>Date</t>
  </si>
  <si>
    <t>Month</t>
  </si>
  <si>
    <t>Show Name</t>
  </si>
  <si>
    <t xml:space="preserve">Show cost </t>
  </si>
  <si>
    <t>Jan</t>
  </si>
  <si>
    <t xml:space="preserve">Woodbridge APA </t>
  </si>
  <si>
    <t>Feb</t>
  </si>
  <si>
    <t>Woodbridge Mall</t>
  </si>
  <si>
    <t>Mar</t>
  </si>
  <si>
    <t xml:space="preserve">Montclair </t>
  </si>
  <si>
    <t>Apr</t>
  </si>
  <si>
    <t>Morristown</t>
  </si>
  <si>
    <t>May</t>
  </si>
  <si>
    <t>Woodbride APA</t>
  </si>
  <si>
    <t>Jun</t>
  </si>
  <si>
    <t>Jul</t>
  </si>
  <si>
    <t>Aug</t>
  </si>
  <si>
    <t>Sep</t>
  </si>
  <si>
    <t>Oct</t>
  </si>
  <si>
    <t>Nov</t>
  </si>
  <si>
    <t>Dec</t>
  </si>
  <si>
    <t>Paid Out</t>
  </si>
  <si>
    <t>PAYROLL</t>
  </si>
  <si>
    <t>RATES</t>
  </si>
  <si>
    <t>Hourly Rate</t>
  </si>
  <si>
    <t>Profit %</t>
  </si>
  <si>
    <t>Role</t>
  </si>
  <si>
    <t>Partner</t>
  </si>
  <si>
    <t>Aryak</t>
  </si>
  <si>
    <t>—</t>
  </si>
  <si>
    <t>Investor</t>
  </si>
  <si>
    <t>Vic</t>
  </si>
  <si>
    <t>Hourly Helper</t>
  </si>
  <si>
    <t>PAY LOG</t>
  </si>
  <si>
    <t>Hours</t>
  </si>
  <si>
    <t>Hourly Pay ($)</t>
  </si>
  <si>
    <t>Share %</t>
  </si>
  <si>
    <t>Total ($)</t>
  </si>
  <si>
    <t>Status</t>
  </si>
  <si>
    <t>Bonus amount</t>
  </si>
  <si>
    <t>Paid</t>
  </si>
  <si>
    <t xml:space="preserve">Hub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</si>
</sst>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\$#,##0.00"/>
    <numFmt numFmtId="165" formatCode="mm/dd/yyyy"/>
    <numFmt numFmtId="166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5A623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F5A623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charset val="1"/>
    </font>
    <font>
      <sz val="10"/>
      <color theme="1"/>
      <name val="Arial"/>
      <family val="2"/>
    </font>
    <font>
      <b/>
      <sz val="12"/>
      <color rgb="FFF5A623"/>
      <name val="Arial"/>
      <family val="2"/>
    </font>
    <font>
      <sz val="12"/>
      <color theme="1"/>
      <name val="Calibri"/>
      <family val="2"/>
      <charset val="1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  <fill>
      <patternFill patternType="solid">
        <fgColor rgb="FFFFF9C4"/>
        <bgColor rgb="FFFFFF99"/>
      </patternFill>
    </fill>
    <fill>
      <patternFill patternType="solid">
        <fgColor rgb="FFD6E4F7"/>
        <bgColor rgb="FFEBF5FB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EBF5FB"/>
      </patternFill>
    </fill>
    <fill>
      <patternFill patternType="solid">
        <fgColor theme="8" tint="0.79998168889431442"/>
        <bgColor rgb="FF16213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BF5FB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85">
    <xf numFmtId="0" fontId="0" fillId="0" borderId="0" xfId="0"/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9" fontId="6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right" vertical="center"/>
    </xf>
    <xf numFmtId="164" fontId="6" fillId="8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166" fontId="6" fillId="8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9" fontId="9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1" fillId="12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right" vertical="center"/>
    </xf>
    <xf numFmtId="0" fontId="1" fillId="13" borderId="1" xfId="0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right" vertical="center"/>
    </xf>
    <xf numFmtId="164" fontId="7" fillId="14" borderId="1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10" fontId="11" fillId="11" borderId="1" xfId="1" applyNumberFormat="1" applyFont="1" applyFill="1" applyBorder="1" applyAlignment="1">
      <alignment horizontal="right" vertical="center"/>
    </xf>
    <xf numFmtId="10" fontId="11" fillId="11" borderId="1" xfId="1" applyNumberFormat="1" applyFont="1" applyFill="1" applyBorder="1" applyAlignment="1">
      <alignment horizontal="center" vertical="center"/>
    </xf>
    <xf numFmtId="10" fontId="9" fillId="12" borderId="1" xfId="0" applyNumberFormat="1" applyFont="1" applyFill="1" applyBorder="1" applyAlignment="1">
      <alignment horizontal="center" vertical="center"/>
    </xf>
    <xf numFmtId="0" fontId="0" fillId="15" borderId="0" xfId="0" applyFill="1"/>
    <xf numFmtId="165" fontId="1" fillId="5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6" fontId="1" fillId="5" borderId="1" xfId="0" applyNumberFormat="1" applyFont="1" applyFill="1" applyBorder="1" applyAlignment="1">
      <alignment horizontal="right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165" fontId="1" fillId="10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right" vertical="center"/>
    </xf>
    <xf numFmtId="165" fontId="1" fillId="12" borderId="1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right" vertical="center"/>
    </xf>
    <xf numFmtId="165" fontId="1" fillId="13" borderId="1" xfId="0" applyNumberFormat="1" applyFon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right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16" fillId="0" borderId="0" xfId="0" applyFont="1"/>
    <xf numFmtId="165" fontId="15" fillId="9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/>
    </xf>
    <xf numFmtId="164" fontId="12" fillId="3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164" fontId="1" fillId="6" borderId="1" xfId="0" applyNumberFormat="1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right" vertical="center"/>
    </xf>
    <xf numFmtId="164" fontId="1" fillId="5" borderId="2" xfId="0" applyNumberFormat="1" applyFont="1" applyFill="1" applyBorder="1" applyAlignment="1">
      <alignment horizontal="right" vertical="center"/>
    </xf>
    <xf numFmtId="164" fontId="1" fillId="5" borderId="3" xfId="0" applyNumberFormat="1" applyFont="1" applyFill="1" applyBorder="1" applyAlignment="1">
      <alignment horizontal="right" vertical="center"/>
    </xf>
    <xf numFmtId="164" fontId="1" fillId="5" borderId="4" xfId="0" applyNumberFormat="1" applyFont="1" applyFill="1" applyBorder="1" applyAlignment="1">
      <alignment horizontal="right" vertical="center"/>
    </xf>
    <xf numFmtId="0" fontId="7" fillId="14" borderId="1" xfId="0" applyFont="1" applyFill="1" applyBorder="1" applyAlignment="1">
      <alignment horizontal="right" vertical="center"/>
    </xf>
    <xf numFmtId="164" fontId="15" fillId="0" borderId="1" xfId="0" applyNumberFormat="1" applyFont="1" applyFill="1" applyBorder="1" applyAlignment="1">
      <alignment horizontal="right" vertical="center"/>
    </xf>
    <xf numFmtId="164" fontId="15" fillId="16" borderId="1" xfId="0" applyNumberFormat="1" applyFont="1" applyFill="1" applyBorder="1" applyAlignment="1">
      <alignment horizontal="right" vertical="center"/>
    </xf>
    <xf numFmtId="164" fontId="15" fillId="0" borderId="1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BF5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33F236F6-A15A-B3D0-AC70-650AF62C4CDE}"/>
            </a:ext>
          </a:extLst>
        </xdr:cNvPr>
        <xdr:cNvSpPr>
          <a:spLocks noChangeAspect="1" noChangeArrowheads="1"/>
        </xdr:cNvSpPr>
      </xdr:nvSpPr>
      <xdr:spPr bwMode="auto">
        <a:xfrm>
          <a:off x="0" y="7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76200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BD15E0EE-001A-92E1-BD5C-8260D8B33E26}"/>
            </a:ext>
          </a:extLst>
        </xdr:cNvPr>
        <xdr:cNvSpPr>
          <a:spLocks noChangeAspect="1" noChangeArrowheads="1"/>
        </xdr:cNvSpPr>
      </xdr:nvSpPr>
      <xdr:spPr bwMode="auto">
        <a:xfrm>
          <a:off x="7863840" y="261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zoomScaleNormal="100" workbookViewId="0">
      <selection activeCell="A16" sqref="A16:F16"/>
    </sheetView>
  </sheetViews>
  <sheetFormatPr defaultColWidth="8.7109375" defaultRowHeight="15"/>
  <cols>
    <col min="1" max="1" width="22" customWidth="1"/>
    <col min="2" max="6" width="14" customWidth="1"/>
  </cols>
  <sheetData>
    <row r="1" spans="1:6" ht="39.75" customHeight="1">
      <c r="A1" s="67" t="s">
        <v>0</v>
      </c>
      <c r="B1" s="67"/>
      <c r="C1" s="67"/>
      <c r="D1" s="67"/>
      <c r="E1" s="67"/>
      <c r="F1" s="67"/>
    </row>
    <row r="2" spans="1:6" ht="7.5" customHeight="1"/>
    <row r="3" spans="1:6" ht="21.75" customHeight="1">
      <c r="A3" s="69" t="s">
        <v>1</v>
      </c>
      <c r="B3" s="69"/>
      <c r="C3" s="69"/>
      <c r="D3" s="69"/>
      <c r="E3" s="69"/>
      <c r="F3" s="69"/>
    </row>
    <row r="4" spans="1:6" ht="19.5" customHeight="1">
      <c r="A4" s="64" t="s">
        <v>2</v>
      </c>
      <c r="B4" s="70" t="s">
        <v>3</v>
      </c>
      <c r="C4" s="70"/>
      <c r="D4" s="70"/>
      <c r="E4" s="70"/>
      <c r="F4" s="70"/>
    </row>
    <row r="5" spans="1:6" ht="18" customHeight="1">
      <c r="A5" s="16" t="s">
        <v>4</v>
      </c>
      <c r="B5" s="71">
        <f>IFERROR(SUM('All-Time Sold'!C3:C999),0)</f>
        <v>12563.8</v>
      </c>
      <c r="C5" s="71"/>
      <c r="D5" s="71"/>
      <c r="E5" s="71"/>
      <c r="F5" s="71"/>
    </row>
    <row r="6" spans="1:6" ht="18" customHeight="1">
      <c r="A6" s="17" t="s">
        <v>5</v>
      </c>
      <c r="B6" s="72">
        <f>IFERROR(SUM('All-Time Sold'!D3:D999),0)</f>
        <v>25877.46</v>
      </c>
      <c r="C6" s="72"/>
      <c r="D6" s="72"/>
      <c r="E6" s="72"/>
      <c r="F6" s="72"/>
    </row>
    <row r="7" spans="1:6" ht="18" customHeight="1">
      <c r="A7" s="16" t="s">
        <v>6</v>
      </c>
      <c r="B7" s="71">
        <f>IFERROR(SUM('All-Time Sold'!E3:E999),0)</f>
        <v>13313.66</v>
      </c>
      <c r="C7" s="71"/>
      <c r="D7" s="71"/>
      <c r="E7" s="71"/>
      <c r="F7" s="71"/>
    </row>
    <row r="8" spans="1:6" ht="18" customHeight="1">
      <c r="A8" s="17" t="s">
        <v>7</v>
      </c>
      <c r="B8" s="73">
        <f>IFERROR(COUNTA('All-Time Sold'!A3:A999),0)</f>
        <v>18</v>
      </c>
      <c r="C8" s="73"/>
      <c r="D8" s="73"/>
      <c r="E8" s="73"/>
      <c r="F8" s="73"/>
    </row>
    <row r="9" spans="1:6" ht="7.5" customHeight="1"/>
    <row r="10" spans="1:6" ht="21.75" customHeight="1">
      <c r="A10" s="69" t="s">
        <v>8</v>
      </c>
      <c r="B10" s="69"/>
      <c r="C10" s="69"/>
      <c r="D10" s="69"/>
      <c r="E10" s="69"/>
      <c r="F10" s="69"/>
    </row>
    <row r="11" spans="1:6" ht="19.5" customHeight="1">
      <c r="A11" s="64" t="s">
        <v>9</v>
      </c>
      <c r="B11" s="64" t="s">
        <v>10</v>
      </c>
      <c r="C11" s="70" t="s">
        <v>11</v>
      </c>
      <c r="D11" s="70"/>
      <c r="E11" s="70"/>
      <c r="F11" s="70"/>
    </row>
    <row r="12" spans="1:6" ht="18" customHeight="1">
      <c r="A12" s="17" t="s">
        <v>12</v>
      </c>
      <c r="B12" s="35">
        <f>COUNTA('Slabs Inventory'!A3:A999)</f>
        <v>19</v>
      </c>
      <c r="C12" s="74">
        <f>IFERROR(SUM('Slabs Inventory'!C3:C999),0)</f>
        <v>167.5</v>
      </c>
      <c r="D12" s="74"/>
      <c r="E12" s="74"/>
      <c r="F12" s="74"/>
    </row>
    <row r="13" spans="1:6" ht="18" customHeight="1">
      <c r="A13" s="16" t="s">
        <v>13</v>
      </c>
      <c r="B13" s="36">
        <f>COUNTA('Raw Inventory'!A3:A1000)</f>
        <v>47</v>
      </c>
      <c r="C13" s="75">
        <f>IFERROR(SUM('Raw Inventory'!C3:C1000),0)</f>
        <v>4148</v>
      </c>
      <c r="D13" s="75"/>
      <c r="E13" s="75"/>
      <c r="F13" s="75"/>
    </row>
    <row r="14" spans="1:6" ht="18" customHeight="1">
      <c r="A14" s="1" t="s">
        <v>14</v>
      </c>
      <c r="B14" s="2">
        <f>B12+B13</f>
        <v>66</v>
      </c>
      <c r="C14" s="72">
        <f>C12+C13</f>
        <v>4315.5</v>
      </c>
      <c r="D14" s="72"/>
      <c r="E14" s="72"/>
      <c r="F14" s="72"/>
    </row>
    <row r="15" spans="1:6" ht="7.5" customHeight="1"/>
    <row r="16" spans="1:6" ht="21.75" customHeight="1">
      <c r="A16" s="69" t="s">
        <v>15</v>
      </c>
      <c r="B16" s="69"/>
      <c r="C16" s="69"/>
      <c r="D16" s="69"/>
      <c r="E16" s="69"/>
      <c r="F16" s="69"/>
    </row>
    <row r="17" spans="1:6" ht="19.5" customHeight="1">
      <c r="A17" s="64" t="s">
        <v>16</v>
      </c>
      <c r="B17" s="64" t="s">
        <v>17</v>
      </c>
      <c r="C17" s="70" t="s">
        <v>18</v>
      </c>
      <c r="D17" s="70"/>
      <c r="E17" s="70"/>
      <c r="F17" s="70"/>
    </row>
    <row r="18" spans="1:6" ht="18" customHeight="1">
      <c r="A18" s="1" t="s">
        <v>19</v>
      </c>
      <c r="B18" s="3">
        <v>1</v>
      </c>
      <c r="C18" s="72">
        <f>B18*B7</f>
        <v>13313.66</v>
      </c>
      <c r="D18" s="72"/>
      <c r="E18" s="72"/>
      <c r="F18" s="72"/>
    </row>
    <row r="19" spans="1:6" ht="18" customHeight="1">
      <c r="A19" s="4" t="s">
        <v>20</v>
      </c>
      <c r="B19" s="3">
        <v>0</v>
      </c>
      <c r="C19" s="71">
        <f>B19*B7</f>
        <v>0</v>
      </c>
      <c r="D19" s="71"/>
      <c r="E19" s="71"/>
      <c r="F19" s="71"/>
    </row>
    <row r="20" spans="1:6" ht="18" customHeight="1">
      <c r="A20" s="1" t="s">
        <v>21</v>
      </c>
      <c r="B20" s="3">
        <v>0</v>
      </c>
      <c r="C20" s="72">
        <f>B20*B7</f>
        <v>0</v>
      </c>
      <c r="D20" s="72"/>
      <c r="E20" s="72"/>
      <c r="F20" s="72"/>
    </row>
  </sheetData>
  <mergeCells count="17">
    <mergeCell ref="C19:F19"/>
    <mergeCell ref="C20:F20"/>
    <mergeCell ref="C13:F13"/>
    <mergeCell ref="C14:F14"/>
    <mergeCell ref="A16:F16"/>
    <mergeCell ref="C17:F17"/>
    <mergeCell ref="C18:F18"/>
    <mergeCell ref="B7:F7"/>
    <mergeCell ref="B8:F8"/>
    <mergeCell ref="A10:F10"/>
    <mergeCell ref="C11:F11"/>
    <mergeCell ref="C12:F12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2"/>
  <sheetViews>
    <sheetView showGridLines="0" topLeftCell="A3" zoomScale="130" zoomScaleNormal="130" workbookViewId="0">
      <selection activeCell="D23" sqref="D23"/>
    </sheetView>
  </sheetViews>
  <sheetFormatPr defaultColWidth="8.7109375" defaultRowHeight="15"/>
  <cols>
    <col min="1" max="1" width="30" customWidth="1"/>
    <col min="2" max="2" width="16" customWidth="1"/>
    <col min="3" max="3" width="10" customWidth="1"/>
    <col min="4" max="4" width="16" customWidth="1"/>
    <col min="5" max="5" width="11.7109375" customWidth="1"/>
  </cols>
  <sheetData>
    <row r="1" spans="1:5" ht="34.5" customHeight="1">
      <c r="A1" s="67" t="s">
        <v>22</v>
      </c>
      <c r="B1" s="67"/>
      <c r="C1" s="67"/>
      <c r="D1" s="67"/>
      <c r="E1" s="67"/>
    </row>
    <row r="2" spans="1:5" ht="27.75" customHeight="1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</row>
    <row r="3" spans="1:5" ht="18" customHeight="1">
      <c r="A3" s="16" t="s">
        <v>28</v>
      </c>
      <c r="B3" s="18" t="s">
        <v>29</v>
      </c>
      <c r="C3" s="18">
        <v>10</v>
      </c>
      <c r="D3" s="37">
        <v>0</v>
      </c>
      <c r="E3" s="33">
        <v>46179</v>
      </c>
    </row>
    <row r="4" spans="1:5" ht="18" customHeight="1">
      <c r="A4" s="17" t="s">
        <v>30</v>
      </c>
      <c r="B4" s="19" t="s">
        <v>29</v>
      </c>
      <c r="C4" s="19">
        <v>10</v>
      </c>
      <c r="D4" s="65">
        <v>119</v>
      </c>
      <c r="E4" s="38">
        <v>46179</v>
      </c>
    </row>
    <row r="5" spans="1:5" ht="18" customHeight="1">
      <c r="A5" s="16" t="s">
        <v>31</v>
      </c>
      <c r="B5" s="18" t="s">
        <v>32</v>
      </c>
      <c r="C5" s="18">
        <v>10</v>
      </c>
      <c r="D5" s="63">
        <v>278.8</v>
      </c>
      <c r="E5" s="33">
        <v>46179</v>
      </c>
    </row>
    <row r="6" spans="1:5" ht="18" customHeight="1">
      <c r="A6" s="17" t="s">
        <v>33</v>
      </c>
      <c r="B6" s="19" t="s">
        <v>32</v>
      </c>
      <c r="C6" s="19">
        <v>10</v>
      </c>
      <c r="D6" s="65">
        <v>0</v>
      </c>
      <c r="E6" s="38">
        <v>46179</v>
      </c>
    </row>
    <row r="7" spans="1:5" ht="18" customHeight="1">
      <c r="A7" s="16" t="s">
        <v>34</v>
      </c>
      <c r="B7" s="18" t="s">
        <v>32</v>
      </c>
      <c r="C7" s="18">
        <v>10</v>
      </c>
      <c r="D7" s="63">
        <v>148.75</v>
      </c>
      <c r="E7" s="33">
        <v>46179</v>
      </c>
    </row>
    <row r="8" spans="1:5" ht="18" customHeight="1">
      <c r="A8" s="17" t="s">
        <v>35</v>
      </c>
      <c r="B8" s="19" t="s">
        <v>32</v>
      </c>
      <c r="C8" s="19">
        <v>10</v>
      </c>
      <c r="D8" s="65">
        <v>187</v>
      </c>
      <c r="E8" s="38">
        <v>46179</v>
      </c>
    </row>
    <row r="9" spans="1:5" ht="18" customHeight="1">
      <c r="A9" s="16" t="s">
        <v>36</v>
      </c>
      <c r="B9" s="18" t="s">
        <v>32</v>
      </c>
      <c r="C9" s="18">
        <v>10</v>
      </c>
      <c r="D9" s="63">
        <v>187</v>
      </c>
      <c r="E9" s="33">
        <v>46179</v>
      </c>
    </row>
    <row r="10" spans="1:5" ht="18" customHeight="1">
      <c r="A10" s="17" t="s">
        <v>37</v>
      </c>
      <c r="B10" s="19" t="s">
        <v>32</v>
      </c>
      <c r="C10" s="19">
        <v>10</v>
      </c>
      <c r="D10" s="65">
        <v>0</v>
      </c>
      <c r="E10" s="38">
        <v>46179</v>
      </c>
    </row>
    <row r="11" spans="1:5" ht="18" customHeight="1">
      <c r="A11" s="16" t="s">
        <v>38</v>
      </c>
      <c r="B11" s="18" t="s">
        <v>39</v>
      </c>
      <c r="C11" s="18" t="s">
        <v>39</v>
      </c>
      <c r="D11" s="63">
        <v>300</v>
      </c>
      <c r="E11" s="33">
        <v>46179</v>
      </c>
    </row>
    <row r="12" spans="1:5" ht="18" customHeight="1">
      <c r="A12" s="17" t="s">
        <v>40</v>
      </c>
      <c r="B12" s="19" t="s">
        <v>32</v>
      </c>
      <c r="C12" s="19">
        <v>10</v>
      </c>
      <c r="D12" s="65">
        <v>807</v>
      </c>
      <c r="E12" s="38">
        <v>46179</v>
      </c>
    </row>
    <row r="13" spans="1:5" ht="18" customHeight="1">
      <c r="A13" s="16" t="s">
        <v>41</v>
      </c>
      <c r="B13" s="18" t="s">
        <v>32</v>
      </c>
      <c r="C13" s="18">
        <v>10</v>
      </c>
      <c r="D13" s="63">
        <v>425</v>
      </c>
      <c r="E13" s="33">
        <v>46179</v>
      </c>
    </row>
    <row r="14" spans="1:5" ht="18" customHeight="1">
      <c r="A14" s="17" t="s">
        <v>42</v>
      </c>
      <c r="B14" s="19" t="s">
        <v>32</v>
      </c>
      <c r="C14" s="19">
        <v>10</v>
      </c>
      <c r="D14" s="65">
        <v>34</v>
      </c>
      <c r="E14" s="38">
        <v>46179</v>
      </c>
    </row>
    <row r="15" spans="1:5" ht="18" customHeight="1">
      <c r="A15" s="17" t="s">
        <v>43</v>
      </c>
      <c r="B15" s="19" t="s">
        <v>32</v>
      </c>
      <c r="C15" s="19">
        <v>9</v>
      </c>
      <c r="D15" s="65">
        <v>27</v>
      </c>
      <c r="E15" s="38">
        <v>46179</v>
      </c>
    </row>
    <row r="16" spans="1:5" ht="18" customHeight="1">
      <c r="A16" s="16" t="s">
        <v>44</v>
      </c>
      <c r="B16" s="18" t="s">
        <v>32</v>
      </c>
      <c r="C16" s="18">
        <v>10</v>
      </c>
      <c r="D16" s="63">
        <v>80</v>
      </c>
      <c r="E16" s="33">
        <v>46179</v>
      </c>
    </row>
    <row r="17" spans="1:5" ht="18" customHeight="1">
      <c r="A17" s="17" t="s">
        <v>45</v>
      </c>
      <c r="B17" s="19" t="s">
        <v>32</v>
      </c>
      <c r="C17" s="19">
        <v>10</v>
      </c>
      <c r="D17" s="65">
        <v>0</v>
      </c>
      <c r="E17" s="38">
        <v>46179</v>
      </c>
    </row>
    <row r="18" spans="1:5" ht="18" customHeight="1">
      <c r="A18" s="16" t="s">
        <v>46</v>
      </c>
      <c r="B18" s="18" t="s">
        <v>47</v>
      </c>
      <c r="C18" s="18">
        <v>8.5</v>
      </c>
      <c r="D18" s="63">
        <v>0</v>
      </c>
      <c r="E18" s="33">
        <v>46179</v>
      </c>
    </row>
    <row r="19" spans="1:5" ht="18" customHeight="1">
      <c r="A19" s="17" t="s">
        <v>48</v>
      </c>
      <c r="B19" s="19" t="s">
        <v>29</v>
      </c>
      <c r="C19" s="19">
        <v>10</v>
      </c>
      <c r="D19" s="65">
        <v>460</v>
      </c>
      <c r="E19" s="38">
        <v>46188</v>
      </c>
    </row>
    <row r="20" spans="1:5" ht="18" customHeight="1">
      <c r="A20" s="16" t="s">
        <v>49</v>
      </c>
      <c r="B20" s="18" t="s">
        <v>29</v>
      </c>
      <c r="C20" s="18">
        <v>10</v>
      </c>
      <c r="D20" s="63">
        <v>460</v>
      </c>
      <c r="E20" s="33">
        <v>46188</v>
      </c>
    </row>
    <row r="21" spans="1:5" ht="18" customHeight="1">
      <c r="A21" s="17"/>
      <c r="B21" s="19"/>
      <c r="C21" s="19"/>
      <c r="D21" s="65"/>
      <c r="E21" s="38"/>
    </row>
    <row r="22" spans="1:5" ht="18" customHeight="1">
      <c r="A22" s="16"/>
      <c r="B22" s="18"/>
      <c r="C22" s="18"/>
      <c r="D22" s="63"/>
      <c r="E22" s="33"/>
    </row>
    <row r="23" spans="1:5" ht="18" customHeight="1">
      <c r="A23" s="17"/>
      <c r="B23" s="19"/>
      <c r="C23" s="19"/>
      <c r="D23" s="65"/>
      <c r="E23" s="38"/>
    </row>
    <row r="24" spans="1:5" ht="18" customHeight="1">
      <c r="A24" s="16"/>
      <c r="B24" s="18"/>
      <c r="C24" s="18"/>
      <c r="D24" s="63"/>
      <c r="E24" s="33"/>
    </row>
    <row r="25" spans="1:5" ht="18" customHeight="1">
      <c r="A25" s="17"/>
      <c r="B25" s="19"/>
      <c r="C25" s="19"/>
      <c r="D25" s="65"/>
      <c r="E25" s="38"/>
    </row>
    <row r="26" spans="1:5" ht="18" customHeight="1">
      <c r="A26" s="16"/>
      <c r="B26" s="18"/>
      <c r="C26" s="18"/>
      <c r="D26" s="63"/>
      <c r="E26" s="33"/>
    </row>
    <row r="27" spans="1:5" ht="18" customHeight="1">
      <c r="A27" s="17"/>
      <c r="B27" s="19"/>
      <c r="C27" s="19"/>
      <c r="D27" s="65"/>
      <c r="E27" s="38"/>
    </row>
    <row r="28" spans="1:5" ht="18" customHeight="1">
      <c r="A28" s="16"/>
      <c r="B28" s="18"/>
      <c r="C28" s="18"/>
      <c r="D28" s="63"/>
      <c r="E28" s="33"/>
    </row>
    <row r="29" spans="1:5" ht="18" customHeight="1">
      <c r="A29" s="17"/>
      <c r="B29" s="19"/>
      <c r="C29" s="19"/>
      <c r="D29" s="65"/>
      <c r="E29" s="38"/>
    </row>
    <row r="30" spans="1:5" ht="18" customHeight="1">
      <c r="A30" s="16"/>
      <c r="B30" s="18"/>
      <c r="C30" s="18"/>
      <c r="D30" s="63"/>
      <c r="E30" s="33"/>
    </row>
    <row r="31" spans="1:5" ht="18" customHeight="1">
      <c r="A31" s="17"/>
      <c r="B31" s="19"/>
      <c r="C31" s="19"/>
      <c r="D31" s="65"/>
      <c r="E31" s="38"/>
    </row>
    <row r="32" spans="1:5" ht="18" customHeight="1">
      <c r="A32" s="16"/>
      <c r="B32" s="18"/>
      <c r="C32" s="18"/>
      <c r="D32" s="63"/>
      <c r="E32" s="33"/>
    </row>
    <row r="33" spans="1:5" ht="18" customHeight="1">
      <c r="A33" s="17"/>
      <c r="B33" s="19"/>
      <c r="C33" s="19"/>
      <c r="D33" s="65"/>
      <c r="E33" s="38"/>
    </row>
    <row r="34" spans="1:5" ht="18" customHeight="1">
      <c r="A34" s="16"/>
      <c r="B34" s="18"/>
      <c r="C34" s="18"/>
      <c r="D34" s="63"/>
      <c r="E34" s="33"/>
    </row>
    <row r="35" spans="1:5" ht="18" customHeight="1">
      <c r="A35" s="17"/>
      <c r="B35" s="19"/>
      <c r="C35" s="19"/>
      <c r="D35" s="65"/>
      <c r="E35" s="38"/>
    </row>
    <row r="36" spans="1:5" ht="18" customHeight="1">
      <c r="A36" s="16"/>
      <c r="B36" s="18"/>
      <c r="C36" s="18"/>
      <c r="D36" s="63"/>
      <c r="E36" s="33"/>
    </row>
    <row r="37" spans="1:5" ht="18" customHeight="1">
      <c r="A37" s="17"/>
      <c r="B37" s="19"/>
      <c r="C37" s="19"/>
      <c r="D37" s="65"/>
      <c r="E37" s="38"/>
    </row>
    <row r="38" spans="1:5" ht="18" customHeight="1">
      <c r="A38" s="16"/>
      <c r="B38" s="18"/>
      <c r="C38" s="18"/>
      <c r="D38" s="63"/>
      <c r="E38" s="33"/>
    </row>
    <row r="39" spans="1:5" ht="18" customHeight="1">
      <c r="A39" s="17"/>
      <c r="B39" s="19"/>
      <c r="C39" s="19"/>
      <c r="D39" s="65"/>
      <c r="E39" s="38"/>
    </row>
    <row r="40" spans="1:5" ht="18" customHeight="1">
      <c r="A40" s="16"/>
      <c r="B40" s="18"/>
      <c r="C40" s="18"/>
      <c r="D40" s="63"/>
      <c r="E40" s="33"/>
    </row>
    <row r="41" spans="1:5" ht="18" customHeight="1">
      <c r="A41" s="17"/>
      <c r="B41" s="19"/>
      <c r="C41" s="19"/>
      <c r="D41" s="65"/>
      <c r="E41" s="38"/>
    </row>
    <row r="42" spans="1:5" ht="18" customHeight="1">
      <c r="A42" s="16"/>
      <c r="B42" s="18"/>
      <c r="C42" s="18"/>
      <c r="D42" s="63"/>
      <c r="E42" s="33"/>
    </row>
    <row r="43" spans="1:5" ht="18" customHeight="1">
      <c r="A43" s="17"/>
      <c r="B43" s="19"/>
      <c r="C43" s="19"/>
      <c r="D43" s="65"/>
      <c r="E43" s="38"/>
    </row>
    <row r="44" spans="1:5" ht="18" customHeight="1">
      <c r="A44" s="16"/>
      <c r="B44" s="18"/>
      <c r="C44" s="18"/>
      <c r="D44" s="63"/>
      <c r="E44" s="33"/>
    </row>
    <row r="45" spans="1:5" ht="18" customHeight="1">
      <c r="A45" s="17"/>
      <c r="B45" s="19"/>
      <c r="C45" s="19"/>
      <c r="D45" s="65"/>
      <c r="E45" s="38"/>
    </row>
    <row r="46" spans="1:5" ht="18" customHeight="1">
      <c r="A46" s="16"/>
      <c r="B46" s="18"/>
      <c r="C46" s="18"/>
      <c r="D46" s="63"/>
      <c r="E46" s="33"/>
    </row>
    <row r="47" spans="1:5" ht="18" customHeight="1">
      <c r="A47" s="17"/>
      <c r="B47" s="19"/>
      <c r="C47" s="19"/>
      <c r="D47" s="65"/>
      <c r="E47" s="38"/>
    </row>
    <row r="48" spans="1:5" ht="18" customHeight="1">
      <c r="A48" s="16"/>
      <c r="B48" s="18"/>
      <c r="C48" s="18"/>
      <c r="D48" s="63"/>
      <c r="E48" s="33"/>
    </row>
    <row r="49" spans="1:5" ht="18" customHeight="1">
      <c r="A49" s="17"/>
      <c r="B49" s="19"/>
      <c r="C49" s="19"/>
      <c r="D49" s="65"/>
      <c r="E49" s="38"/>
    </row>
    <row r="50" spans="1:5" ht="18" customHeight="1">
      <c r="A50" s="16"/>
      <c r="B50" s="18"/>
      <c r="C50" s="18"/>
      <c r="D50" s="63"/>
      <c r="E50" s="33"/>
    </row>
    <row r="51" spans="1:5" ht="18" customHeight="1">
      <c r="A51" s="17"/>
      <c r="B51" s="19"/>
      <c r="C51" s="19"/>
      <c r="D51" s="65"/>
      <c r="E51" s="38"/>
    </row>
    <row r="52" spans="1:5" ht="18" customHeight="1">
      <c r="A52" s="16"/>
      <c r="B52" s="18"/>
      <c r="C52" s="18"/>
      <c r="D52" s="63"/>
      <c r="E52" s="33"/>
    </row>
    <row r="53" spans="1:5" ht="18" customHeight="1">
      <c r="A53" s="17"/>
      <c r="B53" s="19"/>
      <c r="C53" s="19"/>
      <c r="D53" s="65"/>
      <c r="E53" s="38"/>
    </row>
    <row r="54" spans="1:5" ht="18" customHeight="1">
      <c r="A54" s="16"/>
      <c r="B54" s="18"/>
      <c r="C54" s="18"/>
      <c r="D54" s="63"/>
      <c r="E54" s="33"/>
    </row>
    <row r="55" spans="1:5" ht="18" customHeight="1">
      <c r="A55" s="17"/>
      <c r="B55" s="19"/>
      <c r="C55" s="19"/>
      <c r="D55" s="65"/>
      <c r="E55" s="38"/>
    </row>
    <row r="56" spans="1:5" ht="18" customHeight="1">
      <c r="A56" s="16"/>
      <c r="B56" s="18"/>
      <c r="C56" s="18"/>
      <c r="D56" s="63"/>
      <c r="E56" s="33"/>
    </row>
    <row r="57" spans="1:5" ht="18" customHeight="1">
      <c r="A57" s="17"/>
      <c r="B57" s="19"/>
      <c r="C57" s="19"/>
      <c r="D57" s="65"/>
      <c r="E57" s="38"/>
    </row>
    <row r="58" spans="1:5" ht="18" customHeight="1">
      <c r="A58" s="16"/>
      <c r="B58" s="18"/>
      <c r="C58" s="18"/>
      <c r="D58" s="63"/>
      <c r="E58" s="33"/>
    </row>
    <row r="59" spans="1:5" ht="18" customHeight="1">
      <c r="A59" s="17"/>
      <c r="B59" s="19"/>
      <c r="C59" s="19"/>
      <c r="D59" s="65"/>
      <c r="E59" s="38"/>
    </row>
    <row r="60" spans="1:5" ht="18" customHeight="1">
      <c r="A60" s="16"/>
      <c r="B60" s="18"/>
      <c r="C60" s="18"/>
      <c r="D60" s="63"/>
      <c r="E60" s="33"/>
    </row>
    <row r="61" spans="1:5" ht="18" customHeight="1">
      <c r="A61" s="17"/>
      <c r="B61" s="19"/>
      <c r="C61" s="19"/>
      <c r="D61" s="65"/>
      <c r="E61" s="38"/>
    </row>
    <row r="62" spans="1:5" ht="18" customHeight="1">
      <c r="A62" s="16"/>
      <c r="B62" s="18"/>
      <c r="C62" s="18"/>
      <c r="D62" s="63"/>
      <c r="E62" s="33"/>
    </row>
    <row r="63" spans="1:5" ht="18" customHeight="1">
      <c r="A63" s="17"/>
      <c r="B63" s="19"/>
      <c r="C63" s="19"/>
      <c r="D63" s="65"/>
      <c r="E63" s="38"/>
    </row>
    <row r="64" spans="1:5" ht="18" customHeight="1">
      <c r="A64" s="16"/>
      <c r="B64" s="18"/>
      <c r="C64" s="18"/>
      <c r="D64" s="63"/>
      <c r="E64" s="33"/>
    </row>
    <row r="65" spans="1:5" ht="18" customHeight="1">
      <c r="A65" s="17"/>
      <c r="B65" s="19"/>
      <c r="C65" s="19"/>
      <c r="D65" s="65"/>
      <c r="E65" s="38"/>
    </row>
    <row r="66" spans="1:5" ht="18" customHeight="1">
      <c r="A66" s="16"/>
      <c r="B66" s="18"/>
      <c r="C66" s="18"/>
      <c r="D66" s="63"/>
      <c r="E66" s="33"/>
    </row>
    <row r="67" spans="1:5" ht="18" customHeight="1">
      <c r="A67" s="17"/>
      <c r="B67" s="19"/>
      <c r="C67" s="19"/>
      <c r="D67" s="65"/>
      <c r="E67" s="38"/>
    </row>
    <row r="68" spans="1:5" ht="18" customHeight="1">
      <c r="A68" s="16"/>
      <c r="B68" s="18"/>
      <c r="C68" s="18"/>
      <c r="D68" s="63"/>
      <c r="E68" s="33"/>
    </row>
    <row r="69" spans="1:5" ht="18" customHeight="1">
      <c r="A69" s="17"/>
      <c r="B69" s="19"/>
      <c r="C69" s="19"/>
      <c r="D69" s="65"/>
      <c r="E69" s="38"/>
    </row>
    <row r="70" spans="1:5" ht="18" customHeight="1">
      <c r="A70" s="16"/>
      <c r="B70" s="18"/>
      <c r="C70" s="18"/>
      <c r="D70" s="63"/>
      <c r="E70" s="33"/>
    </row>
    <row r="71" spans="1:5" ht="18" customHeight="1">
      <c r="A71" s="17"/>
      <c r="B71" s="19"/>
      <c r="C71" s="19"/>
      <c r="D71" s="65"/>
      <c r="E71" s="38"/>
    </row>
    <row r="72" spans="1:5" ht="18" customHeight="1">
      <c r="A72" s="16"/>
      <c r="B72" s="18"/>
      <c r="C72" s="18"/>
      <c r="D72" s="63"/>
      <c r="E72" s="33"/>
    </row>
    <row r="73" spans="1:5" ht="18" customHeight="1">
      <c r="A73" s="17"/>
      <c r="B73" s="19"/>
      <c r="C73" s="19"/>
      <c r="D73" s="65"/>
      <c r="E73" s="38"/>
    </row>
    <row r="74" spans="1:5" ht="18" customHeight="1">
      <c r="A74" s="16"/>
      <c r="B74" s="18"/>
      <c r="C74" s="18"/>
      <c r="D74" s="63"/>
      <c r="E74" s="33"/>
    </row>
    <row r="75" spans="1:5" ht="18" customHeight="1">
      <c r="A75" s="17"/>
      <c r="B75" s="19"/>
      <c r="C75" s="19"/>
      <c r="D75" s="65"/>
      <c r="E75" s="38"/>
    </row>
    <row r="76" spans="1:5" ht="18" customHeight="1">
      <c r="A76" s="16"/>
      <c r="B76" s="18"/>
      <c r="C76" s="18"/>
      <c r="D76" s="63"/>
      <c r="E76" s="33"/>
    </row>
    <row r="77" spans="1:5" ht="18" customHeight="1">
      <c r="A77" s="17"/>
      <c r="B77" s="19"/>
      <c r="C77" s="19"/>
      <c r="D77" s="65"/>
      <c r="E77" s="38"/>
    </row>
    <row r="78" spans="1:5" ht="18" customHeight="1">
      <c r="A78" s="16"/>
      <c r="B78" s="18"/>
      <c r="C78" s="18"/>
      <c r="D78" s="63"/>
      <c r="E78" s="33"/>
    </row>
    <row r="79" spans="1:5" ht="18" customHeight="1">
      <c r="A79" s="17"/>
      <c r="B79" s="19"/>
      <c r="C79" s="19"/>
      <c r="D79" s="65"/>
      <c r="E79" s="38"/>
    </row>
    <row r="80" spans="1:5" ht="18" customHeight="1">
      <c r="A80" s="16"/>
      <c r="B80" s="18"/>
      <c r="C80" s="18"/>
      <c r="D80" s="63"/>
      <c r="E80" s="33"/>
    </row>
    <row r="81" spans="1:5" ht="18" customHeight="1">
      <c r="A81" s="17"/>
      <c r="B81" s="19"/>
      <c r="C81" s="19"/>
      <c r="D81" s="65"/>
      <c r="E81" s="38"/>
    </row>
    <row r="82" spans="1:5" ht="18" customHeight="1">
      <c r="A82" s="16"/>
      <c r="B82" s="18"/>
      <c r="C82" s="18"/>
      <c r="D82" s="63"/>
      <c r="E82" s="33"/>
    </row>
    <row r="83" spans="1:5" ht="18" customHeight="1">
      <c r="A83" s="17"/>
      <c r="B83" s="19"/>
      <c r="C83" s="19"/>
      <c r="D83" s="65"/>
      <c r="E83" s="38"/>
    </row>
    <row r="84" spans="1:5" ht="18" customHeight="1">
      <c r="A84" s="16"/>
      <c r="B84" s="18"/>
      <c r="C84" s="18"/>
      <c r="D84" s="63"/>
      <c r="E84" s="33"/>
    </row>
    <row r="85" spans="1:5" ht="18" customHeight="1">
      <c r="A85" s="17"/>
      <c r="B85" s="19"/>
      <c r="C85" s="19"/>
      <c r="D85" s="65"/>
      <c r="E85" s="38"/>
    </row>
    <row r="86" spans="1:5" ht="18" customHeight="1">
      <c r="A86" s="16"/>
      <c r="B86" s="18"/>
      <c r="C86" s="18"/>
      <c r="D86" s="63"/>
      <c r="E86" s="33"/>
    </row>
    <row r="87" spans="1:5" ht="18" customHeight="1">
      <c r="A87" s="17"/>
      <c r="B87" s="19"/>
      <c r="C87" s="19"/>
      <c r="D87" s="65"/>
      <c r="E87" s="38"/>
    </row>
    <row r="88" spans="1:5" ht="18" customHeight="1">
      <c r="A88" s="16"/>
      <c r="B88" s="18"/>
      <c r="C88" s="18"/>
      <c r="D88" s="63"/>
      <c r="E88" s="33"/>
    </row>
    <row r="89" spans="1:5" ht="18" customHeight="1">
      <c r="A89" s="17"/>
      <c r="B89" s="19"/>
      <c r="C89" s="19"/>
      <c r="D89" s="65"/>
      <c r="E89" s="38"/>
    </row>
    <row r="90" spans="1:5" ht="18" customHeight="1">
      <c r="A90" s="16"/>
      <c r="B90" s="18"/>
      <c r="C90" s="18"/>
      <c r="D90" s="63"/>
      <c r="E90" s="33"/>
    </row>
    <row r="91" spans="1:5" ht="18" customHeight="1">
      <c r="A91" s="17"/>
      <c r="B91" s="19"/>
      <c r="C91" s="19"/>
      <c r="D91" s="65"/>
      <c r="E91" s="38"/>
    </row>
    <row r="92" spans="1:5" ht="18" customHeight="1">
      <c r="A92" s="16"/>
      <c r="B92" s="18"/>
      <c r="C92" s="18"/>
      <c r="D92" s="63"/>
      <c r="E92" s="33"/>
    </row>
    <row r="93" spans="1:5" ht="18" customHeight="1">
      <c r="A93" s="17"/>
      <c r="B93" s="19"/>
      <c r="C93" s="19"/>
      <c r="D93" s="65"/>
      <c r="E93" s="38"/>
    </row>
    <row r="94" spans="1:5" ht="18" customHeight="1">
      <c r="A94" s="16"/>
      <c r="B94" s="18"/>
      <c r="C94" s="18"/>
      <c r="D94" s="63"/>
      <c r="E94" s="33"/>
    </row>
    <row r="95" spans="1:5" ht="18" customHeight="1">
      <c r="A95" s="17"/>
      <c r="B95" s="19"/>
      <c r="C95" s="19"/>
      <c r="D95" s="65"/>
      <c r="E95" s="38"/>
    </row>
    <row r="96" spans="1:5" ht="18" customHeight="1">
      <c r="A96" s="16"/>
      <c r="B96" s="18"/>
      <c r="C96" s="18"/>
      <c r="D96" s="63"/>
      <c r="E96" s="33"/>
    </row>
    <row r="97" spans="1:5" ht="18" customHeight="1">
      <c r="A97" s="17"/>
      <c r="B97" s="19"/>
      <c r="C97" s="19"/>
      <c r="D97" s="65"/>
      <c r="E97" s="38"/>
    </row>
    <row r="98" spans="1:5" ht="18" customHeight="1">
      <c r="A98" s="16"/>
      <c r="B98" s="18"/>
      <c r="C98" s="18"/>
      <c r="D98" s="63"/>
      <c r="E98" s="33"/>
    </row>
    <row r="99" spans="1:5" ht="18" customHeight="1">
      <c r="A99" s="17"/>
      <c r="B99" s="19"/>
      <c r="C99" s="19"/>
      <c r="D99" s="65"/>
      <c r="E99" s="38"/>
    </row>
    <row r="100" spans="1:5" ht="18" customHeight="1">
      <c r="A100" s="16"/>
      <c r="B100" s="18"/>
      <c r="C100" s="18"/>
      <c r="D100" s="63"/>
      <c r="E100" s="33"/>
    </row>
    <row r="101" spans="1:5" ht="18" customHeight="1">
      <c r="A101" s="17"/>
      <c r="B101" s="19"/>
      <c r="C101" s="19"/>
      <c r="D101" s="65"/>
      <c r="E101" s="38"/>
    </row>
    <row r="102" spans="1:5" ht="18" customHeight="1">
      <c r="A102" s="16"/>
      <c r="B102" s="18"/>
      <c r="C102" s="18"/>
      <c r="D102" s="63"/>
      <c r="E102" s="33"/>
    </row>
    <row r="103" spans="1:5" ht="18" customHeight="1">
      <c r="A103" s="17"/>
      <c r="B103" s="19"/>
      <c r="C103" s="19"/>
      <c r="D103" s="65"/>
      <c r="E103" s="38"/>
    </row>
    <row r="104" spans="1:5" ht="18" customHeight="1">
      <c r="A104" s="16"/>
      <c r="B104" s="18"/>
      <c r="C104" s="18"/>
      <c r="D104" s="63"/>
      <c r="E104" s="33"/>
    </row>
    <row r="105" spans="1:5" ht="18" customHeight="1">
      <c r="A105" s="17"/>
      <c r="B105" s="19"/>
      <c r="C105" s="19"/>
      <c r="D105" s="65"/>
      <c r="E105" s="38"/>
    </row>
    <row r="106" spans="1:5" ht="18" customHeight="1">
      <c r="A106" s="16"/>
      <c r="B106" s="18"/>
      <c r="C106" s="18"/>
      <c r="D106" s="63"/>
      <c r="E106" s="33"/>
    </row>
    <row r="107" spans="1:5" ht="18" customHeight="1">
      <c r="A107" s="17"/>
      <c r="B107" s="19"/>
      <c r="C107" s="19"/>
      <c r="D107" s="65"/>
      <c r="E107" s="38"/>
    </row>
    <row r="108" spans="1:5" ht="18" customHeight="1">
      <c r="A108" s="16"/>
      <c r="B108" s="18"/>
      <c r="C108" s="18"/>
      <c r="D108" s="63"/>
      <c r="E108" s="33"/>
    </row>
    <row r="109" spans="1:5" ht="18" customHeight="1">
      <c r="A109" s="17"/>
      <c r="B109" s="19"/>
      <c r="C109" s="19"/>
      <c r="D109" s="65"/>
      <c r="E109" s="38"/>
    </row>
    <row r="110" spans="1:5" ht="18" customHeight="1">
      <c r="A110" s="16"/>
      <c r="B110" s="18"/>
      <c r="C110" s="18"/>
      <c r="D110" s="63"/>
      <c r="E110" s="33"/>
    </row>
    <row r="111" spans="1:5" ht="18" customHeight="1">
      <c r="A111" s="17"/>
      <c r="B111" s="19"/>
      <c r="C111" s="19"/>
      <c r="D111" s="65"/>
      <c r="E111" s="38"/>
    </row>
    <row r="112" spans="1:5" ht="18" customHeight="1">
      <c r="A112" s="16"/>
      <c r="B112" s="18"/>
      <c r="C112" s="18"/>
      <c r="D112" s="63"/>
      <c r="E112" s="33"/>
    </row>
    <row r="113" spans="1:5" ht="18" customHeight="1">
      <c r="A113" s="17"/>
      <c r="B113" s="19"/>
      <c r="C113" s="19"/>
      <c r="D113" s="65"/>
      <c r="E113" s="38"/>
    </row>
    <row r="114" spans="1:5" ht="18" customHeight="1">
      <c r="A114" s="16"/>
      <c r="B114" s="18"/>
      <c r="C114" s="18"/>
      <c r="D114" s="63"/>
      <c r="E114" s="33"/>
    </row>
    <row r="115" spans="1:5" ht="18" customHeight="1">
      <c r="A115" s="17"/>
      <c r="B115" s="19"/>
      <c r="C115" s="19"/>
      <c r="D115" s="65"/>
      <c r="E115" s="38"/>
    </row>
    <row r="116" spans="1:5" ht="18" customHeight="1">
      <c r="A116" s="16"/>
      <c r="B116" s="18"/>
      <c r="C116" s="18"/>
      <c r="D116" s="63"/>
      <c r="E116" s="33"/>
    </row>
    <row r="117" spans="1:5" ht="18" customHeight="1">
      <c r="A117" s="17"/>
      <c r="B117" s="19"/>
      <c r="C117" s="19"/>
      <c r="D117" s="65"/>
      <c r="E117" s="38"/>
    </row>
    <row r="118" spans="1:5" ht="18" customHeight="1">
      <c r="A118" s="16"/>
      <c r="B118" s="18"/>
      <c r="C118" s="18"/>
      <c r="D118" s="63"/>
      <c r="E118" s="33"/>
    </row>
    <row r="119" spans="1:5" ht="18" customHeight="1">
      <c r="A119" s="17"/>
      <c r="B119" s="19"/>
      <c r="C119" s="19"/>
      <c r="D119" s="65"/>
      <c r="E119" s="38"/>
    </row>
    <row r="120" spans="1:5" ht="18" customHeight="1">
      <c r="A120" s="16"/>
      <c r="B120" s="18"/>
      <c r="C120" s="18"/>
      <c r="D120" s="63"/>
      <c r="E120" s="33"/>
    </row>
    <row r="121" spans="1:5" ht="18" customHeight="1">
      <c r="A121" s="17"/>
      <c r="B121" s="19"/>
      <c r="C121" s="19"/>
      <c r="D121" s="65"/>
      <c r="E121" s="38"/>
    </row>
    <row r="122" spans="1:5" ht="18" customHeight="1">
      <c r="A122" s="16"/>
      <c r="B122" s="18"/>
      <c r="C122" s="18"/>
      <c r="D122" s="63"/>
      <c r="E122" s="33"/>
    </row>
    <row r="123" spans="1:5" ht="18" customHeight="1">
      <c r="A123" s="17"/>
      <c r="B123" s="19"/>
      <c r="C123" s="19"/>
      <c r="D123" s="65"/>
      <c r="E123" s="38"/>
    </row>
    <row r="124" spans="1:5" ht="18" customHeight="1">
      <c r="A124" s="16"/>
      <c r="B124" s="18"/>
      <c r="C124" s="18"/>
      <c r="D124" s="63"/>
      <c r="E124" s="33"/>
    </row>
    <row r="125" spans="1:5" ht="18" customHeight="1">
      <c r="A125" s="17"/>
      <c r="B125" s="19"/>
      <c r="C125" s="19"/>
      <c r="D125" s="65"/>
      <c r="E125" s="38"/>
    </row>
    <row r="126" spans="1:5" ht="18" customHeight="1">
      <c r="A126" s="16"/>
      <c r="B126" s="18"/>
      <c r="C126" s="18"/>
      <c r="D126" s="63"/>
      <c r="E126" s="33"/>
    </row>
    <row r="127" spans="1:5" ht="18" customHeight="1">
      <c r="A127" s="17"/>
      <c r="B127" s="19"/>
      <c r="C127" s="19"/>
      <c r="D127" s="65"/>
      <c r="E127" s="38"/>
    </row>
    <row r="128" spans="1:5" ht="18" customHeight="1">
      <c r="A128" s="16"/>
      <c r="B128" s="18"/>
      <c r="C128" s="18"/>
      <c r="D128" s="63"/>
      <c r="E128" s="33"/>
    </row>
    <row r="129" spans="1:5" ht="18" customHeight="1">
      <c r="A129" s="17"/>
      <c r="B129" s="19"/>
      <c r="C129" s="19"/>
      <c r="D129" s="65"/>
      <c r="E129" s="38"/>
    </row>
    <row r="130" spans="1:5" ht="18" customHeight="1">
      <c r="A130" s="16"/>
      <c r="B130" s="18"/>
      <c r="C130" s="18"/>
      <c r="D130" s="63"/>
      <c r="E130" s="33"/>
    </row>
    <row r="131" spans="1:5" ht="18" customHeight="1">
      <c r="A131" s="17"/>
      <c r="B131" s="19"/>
      <c r="C131" s="19"/>
      <c r="D131" s="65"/>
      <c r="E131" s="38"/>
    </row>
    <row r="132" spans="1:5" ht="18" customHeight="1">
      <c r="A132" s="16"/>
      <c r="B132" s="18"/>
      <c r="C132" s="18"/>
      <c r="D132" s="63"/>
      <c r="E132" s="33"/>
    </row>
    <row r="133" spans="1:5" ht="18" customHeight="1">
      <c r="A133" s="17"/>
      <c r="B133" s="19"/>
      <c r="C133" s="19"/>
      <c r="D133" s="65"/>
      <c r="E133" s="38"/>
    </row>
    <row r="134" spans="1:5" ht="18" customHeight="1">
      <c r="A134" s="16"/>
      <c r="B134" s="18"/>
      <c r="C134" s="18"/>
      <c r="D134" s="63"/>
      <c r="E134" s="33"/>
    </row>
    <row r="135" spans="1:5" ht="18" customHeight="1">
      <c r="A135" s="17"/>
      <c r="B135" s="19"/>
      <c r="C135" s="19"/>
      <c r="D135" s="65"/>
      <c r="E135" s="38"/>
    </row>
    <row r="136" spans="1:5" ht="18" customHeight="1">
      <c r="A136" s="16"/>
      <c r="B136" s="18"/>
      <c r="C136" s="18"/>
      <c r="D136" s="63"/>
      <c r="E136" s="33"/>
    </row>
    <row r="137" spans="1:5" ht="18" customHeight="1">
      <c r="A137" s="17"/>
      <c r="B137" s="19"/>
      <c r="C137" s="19"/>
      <c r="D137" s="65"/>
      <c r="E137" s="38"/>
    </row>
    <row r="138" spans="1:5" ht="18" customHeight="1">
      <c r="A138" s="16"/>
      <c r="B138" s="18"/>
      <c r="C138" s="18"/>
      <c r="D138" s="63"/>
      <c r="E138" s="33"/>
    </row>
    <row r="139" spans="1:5" ht="18" customHeight="1">
      <c r="A139" s="17"/>
      <c r="B139" s="19"/>
      <c r="C139" s="19"/>
      <c r="D139" s="65"/>
      <c r="E139" s="38"/>
    </row>
    <row r="140" spans="1:5" ht="18" customHeight="1">
      <c r="A140" s="16"/>
      <c r="B140" s="18"/>
      <c r="C140" s="18"/>
      <c r="D140" s="63"/>
      <c r="E140" s="33"/>
    </row>
    <row r="141" spans="1:5" ht="18" customHeight="1">
      <c r="A141" s="17"/>
      <c r="B141" s="19"/>
      <c r="C141" s="19"/>
      <c r="D141" s="65"/>
      <c r="E141" s="38"/>
    </row>
    <row r="142" spans="1:5" ht="18" customHeight="1">
      <c r="A142" s="16"/>
      <c r="B142" s="18"/>
      <c r="C142" s="18"/>
      <c r="D142" s="63"/>
      <c r="E142" s="33"/>
    </row>
    <row r="143" spans="1:5" ht="18" customHeight="1">
      <c r="A143" s="17"/>
      <c r="B143" s="19"/>
      <c r="C143" s="19"/>
      <c r="D143" s="65"/>
      <c r="E143" s="38"/>
    </row>
    <row r="144" spans="1:5" ht="18" customHeight="1">
      <c r="A144" s="16"/>
      <c r="B144" s="18"/>
      <c r="C144" s="18"/>
      <c r="D144" s="63"/>
      <c r="E144" s="33"/>
    </row>
    <row r="145" spans="1:5" ht="18" customHeight="1">
      <c r="A145" s="17"/>
      <c r="B145" s="19"/>
      <c r="C145" s="19"/>
      <c r="D145" s="65"/>
      <c r="E145" s="38"/>
    </row>
    <row r="146" spans="1:5" ht="18" customHeight="1">
      <c r="A146" s="16"/>
      <c r="B146" s="18"/>
      <c r="C146" s="18"/>
      <c r="D146" s="63"/>
      <c r="E146" s="33"/>
    </row>
    <row r="147" spans="1:5" ht="18" customHeight="1">
      <c r="A147" s="17"/>
      <c r="B147" s="19"/>
      <c r="C147" s="19"/>
      <c r="D147" s="65"/>
      <c r="E147" s="38"/>
    </row>
    <row r="148" spans="1:5" ht="18" customHeight="1">
      <c r="A148" s="16"/>
      <c r="B148" s="18"/>
      <c r="C148" s="18"/>
      <c r="D148" s="63"/>
      <c r="E148" s="33"/>
    </row>
    <row r="149" spans="1:5" ht="18" customHeight="1">
      <c r="A149" s="17"/>
      <c r="B149" s="19"/>
      <c r="C149" s="19"/>
      <c r="D149" s="65"/>
      <c r="E149" s="38"/>
    </row>
    <row r="150" spans="1:5" ht="18" customHeight="1">
      <c r="A150" s="16"/>
      <c r="B150" s="18"/>
      <c r="C150" s="18"/>
      <c r="D150" s="63"/>
      <c r="E150" s="33"/>
    </row>
    <row r="151" spans="1:5" ht="18" customHeight="1">
      <c r="A151" s="17"/>
      <c r="B151" s="19"/>
      <c r="C151" s="19"/>
      <c r="D151" s="65"/>
      <c r="E151" s="38"/>
    </row>
    <row r="152" spans="1:5" ht="18" customHeight="1">
      <c r="A152" s="16"/>
      <c r="B152" s="18"/>
      <c r="C152" s="18"/>
      <c r="D152" s="63"/>
      <c r="E152" s="33"/>
    </row>
    <row r="153" spans="1:5" ht="18" customHeight="1">
      <c r="A153" s="17"/>
      <c r="B153" s="19"/>
      <c r="C153" s="19"/>
      <c r="D153" s="65"/>
      <c r="E153" s="38"/>
    </row>
    <row r="154" spans="1:5" ht="18" customHeight="1">
      <c r="A154" s="16"/>
      <c r="B154" s="18"/>
      <c r="C154" s="18"/>
      <c r="D154" s="63"/>
      <c r="E154" s="33"/>
    </row>
    <row r="155" spans="1:5" ht="18" customHeight="1">
      <c r="A155" s="17"/>
      <c r="B155" s="19"/>
      <c r="C155" s="19"/>
      <c r="D155" s="65"/>
      <c r="E155" s="38"/>
    </row>
    <row r="156" spans="1:5" ht="18" customHeight="1">
      <c r="A156" s="16"/>
      <c r="B156" s="18"/>
      <c r="C156" s="18"/>
      <c r="D156" s="63"/>
      <c r="E156" s="33"/>
    </row>
    <row r="157" spans="1:5" ht="18" customHeight="1">
      <c r="A157" s="17"/>
      <c r="B157" s="19"/>
      <c r="C157" s="19"/>
      <c r="D157" s="65"/>
      <c r="E157" s="38"/>
    </row>
    <row r="158" spans="1:5" ht="18" customHeight="1">
      <c r="A158" s="16"/>
      <c r="B158" s="18"/>
      <c r="C158" s="18"/>
      <c r="D158" s="63"/>
      <c r="E158" s="33"/>
    </row>
    <row r="159" spans="1:5" ht="18" customHeight="1">
      <c r="A159" s="17"/>
      <c r="B159" s="19"/>
      <c r="C159" s="19"/>
      <c r="D159" s="65"/>
      <c r="E159" s="38"/>
    </row>
    <row r="160" spans="1:5" ht="18" customHeight="1">
      <c r="A160" s="16"/>
      <c r="B160" s="18"/>
      <c r="C160" s="18"/>
      <c r="D160" s="63"/>
      <c r="E160" s="33"/>
    </row>
    <row r="161" spans="1:5" ht="18" customHeight="1">
      <c r="A161" s="17"/>
      <c r="B161" s="19"/>
      <c r="C161" s="19"/>
      <c r="D161" s="65"/>
      <c r="E161" s="38"/>
    </row>
    <row r="162" spans="1:5" ht="18" customHeight="1">
      <c r="A162" s="16"/>
      <c r="B162" s="18"/>
      <c r="C162" s="18"/>
      <c r="D162" s="63"/>
      <c r="E162" s="33"/>
    </row>
    <row r="163" spans="1:5" ht="18" customHeight="1">
      <c r="A163" s="17"/>
      <c r="B163" s="19"/>
      <c r="C163" s="19"/>
      <c r="D163" s="65"/>
      <c r="E163" s="38"/>
    </row>
    <row r="164" spans="1:5" ht="18" customHeight="1">
      <c r="A164" s="16"/>
      <c r="B164" s="18"/>
      <c r="C164" s="18"/>
      <c r="D164" s="63"/>
      <c r="E164" s="33"/>
    </row>
    <row r="165" spans="1:5" ht="18" customHeight="1">
      <c r="A165" s="17"/>
      <c r="B165" s="19"/>
      <c r="C165" s="19"/>
      <c r="D165" s="65"/>
      <c r="E165" s="38"/>
    </row>
    <row r="166" spans="1:5" ht="18" customHeight="1">
      <c r="A166" s="16"/>
      <c r="B166" s="18"/>
      <c r="C166" s="18"/>
      <c r="D166" s="63"/>
      <c r="E166" s="33"/>
    </row>
    <row r="167" spans="1:5" ht="18" customHeight="1">
      <c r="A167" s="17"/>
      <c r="B167" s="19"/>
      <c r="C167" s="19"/>
      <c r="D167" s="65"/>
      <c r="E167" s="38"/>
    </row>
    <row r="168" spans="1:5" ht="18" customHeight="1">
      <c r="A168" s="16"/>
      <c r="B168" s="18"/>
      <c r="C168" s="18"/>
      <c r="D168" s="63"/>
      <c r="E168" s="33"/>
    </row>
    <row r="169" spans="1:5" ht="18" customHeight="1">
      <c r="A169" s="17"/>
      <c r="B169" s="19"/>
      <c r="C169" s="19"/>
      <c r="D169" s="65"/>
      <c r="E169" s="38"/>
    </row>
    <row r="170" spans="1:5" ht="18" customHeight="1">
      <c r="A170" s="16"/>
      <c r="B170" s="18"/>
      <c r="C170" s="18"/>
      <c r="D170" s="63"/>
      <c r="E170" s="33"/>
    </row>
    <row r="171" spans="1:5" ht="18" customHeight="1">
      <c r="A171" s="17"/>
      <c r="B171" s="19"/>
      <c r="C171" s="19"/>
      <c r="D171" s="65"/>
      <c r="E171" s="38"/>
    </row>
    <row r="172" spans="1:5" ht="18" customHeight="1">
      <c r="A172" s="16"/>
      <c r="B172" s="18"/>
      <c r="C172" s="18"/>
      <c r="D172" s="63"/>
      <c r="E172" s="33"/>
    </row>
    <row r="173" spans="1:5" ht="18" customHeight="1">
      <c r="A173" s="17"/>
      <c r="B173" s="19"/>
      <c r="C173" s="19"/>
      <c r="D173" s="65"/>
      <c r="E173" s="38"/>
    </row>
    <row r="174" spans="1:5" ht="18" customHeight="1">
      <c r="A174" s="16"/>
      <c r="B174" s="18"/>
      <c r="C174" s="18"/>
      <c r="D174" s="63"/>
      <c r="E174" s="33"/>
    </row>
    <row r="175" spans="1:5" ht="18" customHeight="1">
      <c r="A175" s="17"/>
      <c r="B175" s="19"/>
      <c r="C175" s="19"/>
      <c r="D175" s="65"/>
      <c r="E175" s="38"/>
    </row>
    <row r="176" spans="1:5" ht="18" customHeight="1">
      <c r="A176" s="16"/>
      <c r="B176" s="18"/>
      <c r="C176" s="18"/>
      <c r="D176" s="63"/>
      <c r="E176" s="33"/>
    </row>
    <row r="177" spans="1:5" ht="18" customHeight="1">
      <c r="A177" s="17"/>
      <c r="B177" s="19"/>
      <c r="C177" s="19"/>
      <c r="D177" s="65"/>
      <c r="E177" s="38"/>
    </row>
    <row r="178" spans="1:5" ht="18" customHeight="1">
      <c r="A178" s="16"/>
      <c r="B178" s="18"/>
      <c r="C178" s="18"/>
      <c r="D178" s="63"/>
      <c r="E178" s="33"/>
    </row>
    <row r="179" spans="1:5" ht="18" customHeight="1">
      <c r="A179" s="17"/>
      <c r="B179" s="19"/>
      <c r="C179" s="19"/>
      <c r="D179" s="65"/>
      <c r="E179" s="38"/>
    </row>
    <row r="180" spans="1:5" ht="18" customHeight="1">
      <c r="A180" s="16"/>
      <c r="B180" s="18"/>
      <c r="C180" s="18"/>
      <c r="D180" s="63"/>
      <c r="E180" s="33"/>
    </row>
    <row r="181" spans="1:5" ht="18" customHeight="1">
      <c r="A181" s="17"/>
      <c r="B181" s="19"/>
      <c r="C181" s="19"/>
      <c r="D181" s="65"/>
      <c r="E181" s="38"/>
    </row>
    <row r="182" spans="1:5" ht="18" customHeight="1">
      <c r="A182" s="16"/>
      <c r="B182" s="18"/>
      <c r="C182" s="18"/>
      <c r="D182" s="63"/>
      <c r="E182" s="33"/>
    </row>
    <row r="183" spans="1:5" ht="18" customHeight="1">
      <c r="A183" s="17"/>
      <c r="B183" s="19"/>
      <c r="C183" s="19"/>
      <c r="D183" s="65"/>
      <c r="E183" s="38"/>
    </row>
    <row r="184" spans="1:5" ht="18" customHeight="1">
      <c r="A184" s="16"/>
      <c r="B184" s="18"/>
      <c r="C184" s="18"/>
      <c r="D184" s="63"/>
      <c r="E184" s="33"/>
    </row>
    <row r="185" spans="1:5" ht="18" customHeight="1">
      <c r="A185" s="17"/>
      <c r="B185" s="19"/>
      <c r="C185" s="19"/>
      <c r="D185" s="65"/>
      <c r="E185" s="38"/>
    </row>
    <row r="186" spans="1:5" ht="18" customHeight="1">
      <c r="A186" s="16"/>
      <c r="B186" s="18"/>
      <c r="C186" s="18"/>
      <c r="D186" s="63"/>
      <c r="E186" s="33"/>
    </row>
    <row r="187" spans="1:5" ht="18" customHeight="1">
      <c r="A187" s="17"/>
      <c r="B187" s="19"/>
      <c r="C187" s="19"/>
      <c r="D187" s="65"/>
      <c r="E187" s="38"/>
    </row>
    <row r="188" spans="1:5" ht="18" customHeight="1">
      <c r="A188" s="16"/>
      <c r="B188" s="18"/>
      <c r="C188" s="18"/>
      <c r="D188" s="63"/>
      <c r="E188" s="33"/>
    </row>
    <row r="189" spans="1:5" ht="18" customHeight="1">
      <c r="A189" s="17"/>
      <c r="B189" s="19"/>
      <c r="C189" s="19"/>
      <c r="D189" s="65"/>
      <c r="E189" s="38"/>
    </row>
    <row r="190" spans="1:5" ht="18" customHeight="1">
      <c r="A190" s="16"/>
      <c r="B190" s="18"/>
      <c r="C190" s="18"/>
      <c r="D190" s="63"/>
      <c r="E190" s="33"/>
    </row>
    <row r="191" spans="1:5" ht="18" customHeight="1">
      <c r="A191" s="17"/>
      <c r="B191" s="19"/>
      <c r="C191" s="19"/>
      <c r="D191" s="65"/>
      <c r="E191" s="38"/>
    </row>
    <row r="192" spans="1:5" ht="18" customHeight="1">
      <c r="A192" s="16"/>
      <c r="B192" s="18"/>
      <c r="C192" s="18"/>
      <c r="D192" s="63"/>
      <c r="E192" s="33"/>
    </row>
    <row r="193" spans="1:5" ht="18" customHeight="1">
      <c r="A193" s="17"/>
      <c r="B193" s="19"/>
      <c r="C193" s="19"/>
      <c r="D193" s="65"/>
      <c r="E193" s="38"/>
    </row>
    <row r="194" spans="1:5" ht="18" customHeight="1">
      <c r="A194" s="16"/>
      <c r="B194" s="18"/>
      <c r="C194" s="18"/>
      <c r="D194" s="63"/>
      <c r="E194" s="33"/>
    </row>
    <row r="195" spans="1:5" ht="18" customHeight="1">
      <c r="A195" s="17"/>
      <c r="B195" s="19"/>
      <c r="C195" s="19"/>
      <c r="D195" s="65"/>
      <c r="E195" s="38"/>
    </row>
    <row r="196" spans="1:5" ht="18" customHeight="1">
      <c r="A196" s="16"/>
      <c r="B196" s="18"/>
      <c r="C196" s="18"/>
      <c r="D196" s="63"/>
      <c r="E196" s="33"/>
    </row>
    <row r="197" spans="1:5" ht="18" customHeight="1">
      <c r="A197" s="17"/>
      <c r="B197" s="19"/>
      <c r="C197" s="19"/>
      <c r="D197" s="65"/>
      <c r="E197" s="38"/>
    </row>
    <row r="198" spans="1:5" ht="18" customHeight="1">
      <c r="A198" s="16"/>
      <c r="B198" s="18"/>
      <c r="C198" s="18"/>
      <c r="D198" s="63"/>
      <c r="E198" s="33"/>
    </row>
    <row r="199" spans="1:5" ht="18" customHeight="1">
      <c r="A199" s="17"/>
      <c r="B199" s="19"/>
      <c r="C199" s="19"/>
      <c r="D199" s="65"/>
      <c r="E199" s="38"/>
    </row>
    <row r="200" spans="1:5" ht="18" customHeight="1">
      <c r="A200" s="16"/>
      <c r="B200" s="18"/>
      <c r="C200" s="18"/>
      <c r="D200" s="63"/>
      <c r="E200" s="33"/>
    </row>
    <row r="201" spans="1:5" ht="18" customHeight="1">
      <c r="A201" s="17"/>
      <c r="B201" s="19"/>
      <c r="C201" s="19"/>
      <c r="D201" s="65"/>
      <c r="E201" s="38"/>
    </row>
    <row r="202" spans="1:5" ht="21.75" customHeight="1">
      <c r="A202" s="68" t="s">
        <v>50</v>
      </c>
      <c r="B202" s="68"/>
      <c r="C202" s="68"/>
      <c r="D202" s="6">
        <f>SUM(D3:D201)</f>
        <v>3513.55</v>
      </c>
      <c r="E202" s="66"/>
    </row>
  </sheetData>
  <mergeCells count="2">
    <mergeCell ref="A1:E1"/>
    <mergeCell ref="A202:C20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8"/>
  <sheetViews>
    <sheetView showGridLines="0" tabSelected="1" topLeftCell="A10" zoomScale="70" zoomScaleNormal="70" workbookViewId="0">
      <selection activeCell="D39" sqref="D39"/>
    </sheetView>
  </sheetViews>
  <sheetFormatPr defaultColWidth="8.7109375" defaultRowHeight="15"/>
  <cols>
    <col min="1" max="1" width="52.28515625" style="47" bestFit="1" customWidth="1"/>
    <col min="2" max="2" width="22" style="47" customWidth="1"/>
    <col min="3" max="3" width="16" style="47" customWidth="1"/>
    <col min="4" max="4" width="49.42578125" style="47" customWidth="1"/>
    <col min="5" max="16384" width="8.7109375" style="47"/>
  </cols>
  <sheetData>
    <row r="1" spans="1:4">
      <c r="A1" s="76" t="s">
        <v>51</v>
      </c>
      <c r="B1" s="76"/>
      <c r="C1" s="76"/>
    </row>
    <row r="2" spans="1:4" ht="29.25">
      <c r="A2" s="48" t="s">
        <v>23</v>
      </c>
      <c r="B2" s="48" t="s">
        <v>52</v>
      </c>
      <c r="C2" s="48" t="s">
        <v>53</v>
      </c>
      <c r="D2" s="48" t="s">
        <v>54</v>
      </c>
    </row>
    <row r="3" spans="1:4">
      <c r="A3" s="49" t="s">
        <v>55</v>
      </c>
      <c r="B3" s="50" t="s">
        <v>56</v>
      </c>
      <c r="C3" s="51">
        <v>33</v>
      </c>
      <c r="D3" s="52" t="s">
        <v>57</v>
      </c>
    </row>
    <row r="4" spans="1:4">
      <c r="A4" s="53" t="s">
        <v>58</v>
      </c>
      <c r="B4" s="54" t="s">
        <v>56</v>
      </c>
      <c r="C4" s="55">
        <v>154</v>
      </c>
      <c r="D4" s="56"/>
    </row>
    <row r="5" spans="1:4">
      <c r="A5" s="49" t="s">
        <v>59</v>
      </c>
      <c r="B5" s="50" t="s">
        <v>60</v>
      </c>
      <c r="C5" s="51">
        <v>225</v>
      </c>
      <c r="D5" s="52"/>
    </row>
    <row r="6" spans="1:4">
      <c r="A6" s="57" t="s">
        <v>61</v>
      </c>
      <c r="B6" s="54" t="s">
        <v>56</v>
      </c>
      <c r="C6" s="55">
        <v>90</v>
      </c>
      <c r="D6" s="56" t="s">
        <v>62</v>
      </c>
    </row>
    <row r="7" spans="1:4">
      <c r="A7" s="49" t="s">
        <v>63</v>
      </c>
      <c r="B7" s="50" t="s">
        <v>60</v>
      </c>
      <c r="C7" s="51">
        <v>33</v>
      </c>
      <c r="D7" s="52" t="s">
        <v>64</v>
      </c>
    </row>
    <row r="8" spans="1:4">
      <c r="A8" s="53" t="s">
        <v>65</v>
      </c>
      <c r="B8" s="54" t="s">
        <v>56</v>
      </c>
      <c r="C8" s="55">
        <v>69</v>
      </c>
      <c r="D8" s="56" t="s">
        <v>66</v>
      </c>
    </row>
    <row r="9" spans="1:4">
      <c r="A9" s="53" t="s">
        <v>59</v>
      </c>
      <c r="B9" s="54" t="s">
        <v>60</v>
      </c>
      <c r="C9" s="55">
        <v>225</v>
      </c>
      <c r="D9" s="52"/>
    </row>
    <row r="10" spans="1:4">
      <c r="A10" s="49" t="s">
        <v>67</v>
      </c>
      <c r="B10" s="50" t="s">
        <v>60</v>
      </c>
      <c r="C10" s="51">
        <v>100</v>
      </c>
      <c r="D10" s="56"/>
    </row>
    <row r="11" spans="1:4">
      <c r="A11" s="53" t="s">
        <v>68</v>
      </c>
      <c r="B11" s="54" t="s">
        <v>56</v>
      </c>
      <c r="C11" s="55">
        <v>240</v>
      </c>
      <c r="D11" s="52"/>
    </row>
    <row r="12" spans="1:4">
      <c r="A12" s="49" t="s">
        <v>69</v>
      </c>
      <c r="B12" s="50" t="s">
        <v>56</v>
      </c>
      <c r="C12" s="51">
        <v>48</v>
      </c>
      <c r="D12" s="58"/>
    </row>
    <row r="13" spans="1:4">
      <c r="A13" s="53" t="s">
        <v>70</v>
      </c>
      <c r="B13" s="54" t="s">
        <v>56</v>
      </c>
      <c r="C13" s="55" t="s">
        <v>71</v>
      </c>
      <c r="D13" s="52"/>
    </row>
    <row r="14" spans="1:4">
      <c r="A14" s="49" t="s">
        <v>72</v>
      </c>
      <c r="B14" s="50" t="s">
        <v>56</v>
      </c>
      <c r="C14" s="51" t="s">
        <v>71</v>
      </c>
      <c r="D14" s="56"/>
    </row>
    <row r="15" spans="1:4">
      <c r="A15" s="53" t="s">
        <v>73</v>
      </c>
      <c r="B15" s="54" t="s">
        <v>56</v>
      </c>
      <c r="C15" s="55" t="s">
        <v>71</v>
      </c>
      <c r="D15" s="52"/>
    </row>
    <row r="16" spans="1:4">
      <c r="A16" s="49" t="s">
        <v>74</v>
      </c>
      <c r="B16" s="50" t="s">
        <v>56</v>
      </c>
      <c r="C16" s="51" t="s">
        <v>71</v>
      </c>
      <c r="D16" s="56"/>
    </row>
    <row r="17" spans="1:4">
      <c r="A17" s="53" t="s">
        <v>75</v>
      </c>
      <c r="B17" s="54" t="s">
        <v>56</v>
      </c>
      <c r="C17" s="51" t="s">
        <v>71</v>
      </c>
      <c r="D17" s="52"/>
    </row>
    <row r="18" spans="1:4">
      <c r="A18" s="49" t="s">
        <v>76</v>
      </c>
      <c r="B18" s="50" t="s">
        <v>56</v>
      </c>
      <c r="C18" s="51">
        <v>20</v>
      </c>
      <c r="D18" s="56"/>
    </row>
    <row r="19" spans="1:4">
      <c r="A19" s="53" t="s">
        <v>77</v>
      </c>
      <c r="B19" s="54" t="s">
        <v>56</v>
      </c>
      <c r="C19" s="55">
        <v>20</v>
      </c>
      <c r="D19" s="52"/>
    </row>
    <row r="20" spans="1:4">
      <c r="A20" s="49" t="s">
        <v>78</v>
      </c>
      <c r="B20" s="50" t="s">
        <v>56</v>
      </c>
      <c r="C20" s="51">
        <v>18.399999999999999</v>
      </c>
      <c r="D20" s="56"/>
    </row>
    <row r="21" spans="1:4">
      <c r="A21" s="53" t="s">
        <v>79</v>
      </c>
      <c r="B21" s="54" t="s">
        <v>56</v>
      </c>
      <c r="C21" s="55">
        <v>18</v>
      </c>
      <c r="D21" s="52"/>
    </row>
    <row r="22" spans="1:4">
      <c r="A22" s="49" t="s">
        <v>80</v>
      </c>
      <c r="B22" s="50" t="s">
        <v>56</v>
      </c>
      <c r="C22" s="51">
        <v>14.4</v>
      </c>
      <c r="D22" s="56"/>
    </row>
    <row r="23" spans="1:4">
      <c r="A23" s="53" t="s">
        <v>81</v>
      </c>
      <c r="B23" s="54" t="s">
        <v>56</v>
      </c>
      <c r="C23" s="55">
        <v>12.8</v>
      </c>
      <c r="D23" s="52"/>
    </row>
    <row r="24" spans="1:4">
      <c r="A24" s="49" t="s">
        <v>82</v>
      </c>
      <c r="B24" s="50" t="s">
        <v>56</v>
      </c>
      <c r="C24" s="51">
        <v>10.4</v>
      </c>
      <c r="D24" s="56"/>
    </row>
    <row r="25" spans="1:4">
      <c r="A25" s="53" t="s">
        <v>83</v>
      </c>
      <c r="B25" s="54" t="s">
        <v>56</v>
      </c>
      <c r="C25" s="51" t="s">
        <v>71</v>
      </c>
      <c r="D25" s="52"/>
    </row>
    <row r="26" spans="1:4">
      <c r="A26" s="49" t="s">
        <v>84</v>
      </c>
      <c r="B26" s="50" t="s">
        <v>56</v>
      </c>
      <c r="C26" s="51" t="s">
        <v>71</v>
      </c>
      <c r="D26" s="58"/>
    </row>
    <row r="27" spans="1:4">
      <c r="A27" s="53" t="s">
        <v>85</v>
      </c>
      <c r="B27" s="54" t="s">
        <v>86</v>
      </c>
      <c r="C27" s="51" t="s">
        <v>71</v>
      </c>
      <c r="D27" s="52"/>
    </row>
    <row r="28" spans="1:4">
      <c r="A28" s="53" t="s">
        <v>87</v>
      </c>
      <c r="B28" s="54" t="s">
        <v>56</v>
      </c>
      <c r="C28" s="51" t="s">
        <v>71</v>
      </c>
      <c r="D28" s="56"/>
    </row>
    <row r="29" spans="1:4">
      <c r="A29" s="49" t="s">
        <v>88</v>
      </c>
      <c r="B29" s="50" t="s">
        <v>56</v>
      </c>
      <c r="C29" s="51" t="s">
        <v>71</v>
      </c>
      <c r="D29" s="52"/>
    </row>
    <row r="30" spans="1:4">
      <c r="A30" s="53" t="s">
        <v>89</v>
      </c>
      <c r="B30" s="54" t="s">
        <v>56</v>
      </c>
      <c r="C30" s="55">
        <v>6</v>
      </c>
      <c r="D30" s="56"/>
    </row>
    <row r="31" spans="1:4">
      <c r="A31" s="49" t="s">
        <v>90</v>
      </c>
      <c r="B31" s="50" t="s">
        <v>60</v>
      </c>
      <c r="C31" s="51">
        <v>6</v>
      </c>
      <c r="D31" s="52"/>
    </row>
    <row r="32" spans="1:4">
      <c r="A32" s="53" t="s">
        <v>91</v>
      </c>
      <c r="B32" s="54" t="s">
        <v>60</v>
      </c>
      <c r="C32" s="82">
        <v>155</v>
      </c>
      <c r="D32" s="56"/>
    </row>
    <row r="33" spans="1:4">
      <c r="A33" s="59" t="s">
        <v>92</v>
      </c>
      <c r="B33" s="50" t="s">
        <v>93</v>
      </c>
      <c r="C33" s="83" t="s">
        <v>94</v>
      </c>
      <c r="D33" s="52"/>
    </row>
    <row r="34" spans="1:4">
      <c r="A34" s="53" t="s">
        <v>95</v>
      </c>
      <c r="B34" s="54" t="s">
        <v>86</v>
      </c>
      <c r="C34" s="82">
        <v>70</v>
      </c>
      <c r="D34" s="52" t="s">
        <v>96</v>
      </c>
    </row>
    <row r="35" spans="1:4">
      <c r="A35" s="49" t="s">
        <v>97</v>
      </c>
      <c r="B35" s="50" t="s">
        <v>93</v>
      </c>
      <c r="C35" s="83">
        <v>17</v>
      </c>
      <c r="D35" s="52" t="s">
        <v>96</v>
      </c>
    </row>
    <row r="36" spans="1:4">
      <c r="A36" s="53" t="s">
        <v>98</v>
      </c>
      <c r="B36" s="54" t="s">
        <v>86</v>
      </c>
      <c r="C36" s="82">
        <v>50</v>
      </c>
      <c r="D36" s="56"/>
    </row>
    <row r="37" spans="1:4">
      <c r="A37" s="49" t="s">
        <v>99</v>
      </c>
      <c r="B37" s="50" t="s">
        <v>86</v>
      </c>
      <c r="C37" s="83">
        <v>50</v>
      </c>
      <c r="D37" s="52"/>
    </row>
    <row r="38" spans="1:4">
      <c r="A38" s="53" t="s">
        <v>100</v>
      </c>
      <c r="B38" s="54" t="s">
        <v>86</v>
      </c>
      <c r="C38" s="82">
        <v>118</v>
      </c>
      <c r="D38" s="58"/>
    </row>
    <row r="39" spans="1:4" ht="15.75">
      <c r="A39" s="49" t="s">
        <v>101</v>
      </c>
      <c r="B39" s="50" t="s">
        <v>86</v>
      </c>
      <c r="C39" s="82">
        <v>50</v>
      </c>
      <c r="D39" s="52" t="s">
        <v>96</v>
      </c>
    </row>
    <row r="40" spans="1:4" ht="15.75">
      <c r="A40" s="53" t="s">
        <v>102</v>
      </c>
      <c r="B40" s="54" t="s">
        <v>86</v>
      </c>
      <c r="C40" s="84">
        <v>16</v>
      </c>
      <c r="D40" s="56"/>
    </row>
    <row r="41" spans="1:4">
      <c r="A41" s="49" t="s">
        <v>103</v>
      </c>
      <c r="B41" s="50" t="s">
        <v>86</v>
      </c>
      <c r="C41" s="83" t="s">
        <v>94</v>
      </c>
      <c r="D41" s="52"/>
    </row>
    <row r="42" spans="1:4" ht="15.75">
      <c r="A42" s="53" t="s">
        <v>104</v>
      </c>
      <c r="B42" s="54" t="s">
        <v>86</v>
      </c>
      <c r="C42" s="83">
        <v>35</v>
      </c>
      <c r="D42" s="56"/>
    </row>
    <row r="43" spans="1:4">
      <c r="A43" s="49" t="s">
        <v>105</v>
      </c>
      <c r="B43" s="50" t="s">
        <v>56</v>
      </c>
      <c r="C43" s="51" t="s">
        <v>71</v>
      </c>
      <c r="D43" s="52"/>
    </row>
    <row r="44" spans="1:4">
      <c r="A44" s="53" t="s">
        <v>106</v>
      </c>
      <c r="B44" s="54" t="s">
        <v>86</v>
      </c>
      <c r="C44" s="55" t="s">
        <v>71</v>
      </c>
      <c r="D44" s="56"/>
    </row>
    <row r="45" spans="1:4">
      <c r="A45" s="49" t="s">
        <v>107</v>
      </c>
      <c r="B45" s="50" t="s">
        <v>86</v>
      </c>
      <c r="C45" s="51">
        <v>50</v>
      </c>
      <c r="D45" s="52"/>
    </row>
    <row r="46" spans="1:4">
      <c r="A46" s="53" t="s">
        <v>108</v>
      </c>
      <c r="B46" s="54" t="s">
        <v>86</v>
      </c>
      <c r="C46" s="55">
        <v>20</v>
      </c>
      <c r="D46" s="56"/>
    </row>
    <row r="47" spans="1:4">
      <c r="A47" s="49" t="s">
        <v>109</v>
      </c>
      <c r="B47" s="50" t="s">
        <v>86</v>
      </c>
      <c r="C47" s="51">
        <v>90</v>
      </c>
      <c r="D47" s="52"/>
    </row>
    <row r="48" spans="1:4">
      <c r="A48" s="53" t="s">
        <v>110</v>
      </c>
      <c r="B48" s="54" t="s">
        <v>86</v>
      </c>
      <c r="C48" s="55">
        <v>10</v>
      </c>
      <c r="D48" s="56"/>
    </row>
    <row r="49" spans="1:4">
      <c r="A49" s="52"/>
      <c r="B49" s="52"/>
      <c r="C49" s="52"/>
      <c r="D49" s="52"/>
    </row>
    <row r="50" spans="1:4">
      <c r="A50" s="58"/>
      <c r="B50" s="58"/>
      <c r="C50" s="58"/>
      <c r="D50" s="58"/>
    </row>
    <row r="51" spans="1:4">
      <c r="A51" s="49"/>
      <c r="B51" s="50"/>
      <c r="C51" s="51"/>
      <c r="D51" s="52"/>
    </row>
    <row r="52" spans="1:4">
      <c r="A52" s="53"/>
      <c r="B52" s="54"/>
      <c r="C52" s="55"/>
      <c r="D52" s="56"/>
    </row>
    <row r="53" spans="1:4">
      <c r="A53" s="49"/>
      <c r="B53" s="50"/>
      <c r="C53" s="51"/>
      <c r="D53" s="52"/>
    </row>
    <row r="54" spans="1:4">
      <c r="A54" s="53"/>
      <c r="B54" s="54"/>
      <c r="C54" s="55"/>
      <c r="D54" s="56"/>
    </row>
    <row r="55" spans="1:4">
      <c r="A55" s="49"/>
      <c r="B55" s="50"/>
      <c r="C55" s="51"/>
      <c r="D55" s="52"/>
    </row>
    <row r="56" spans="1:4">
      <c r="A56" s="53"/>
      <c r="B56" s="54"/>
      <c r="C56" s="55"/>
      <c r="D56" s="56"/>
    </row>
    <row r="57" spans="1:4">
      <c r="A57" s="49"/>
      <c r="B57" s="50"/>
      <c r="C57" s="51"/>
      <c r="D57" s="52"/>
    </row>
    <row r="58" spans="1:4">
      <c r="A58" s="53"/>
      <c r="B58" s="54"/>
      <c r="C58" s="55"/>
      <c r="D58" s="56"/>
    </row>
    <row r="59" spans="1:4">
      <c r="A59" s="49"/>
      <c r="B59" s="50"/>
      <c r="C59" s="51"/>
      <c r="D59" s="52"/>
    </row>
    <row r="60" spans="1:4">
      <c r="A60" s="53"/>
      <c r="B60" s="54"/>
      <c r="C60" s="55"/>
      <c r="D60" s="56"/>
    </row>
    <row r="61" spans="1:4">
      <c r="A61" s="49"/>
      <c r="B61" s="50"/>
      <c r="C61" s="51"/>
      <c r="D61" s="52"/>
    </row>
    <row r="62" spans="1:4">
      <c r="A62" s="53"/>
      <c r="B62" s="54"/>
      <c r="C62" s="55"/>
      <c r="D62" s="58"/>
    </row>
    <row r="63" spans="1:4">
      <c r="A63" s="49"/>
      <c r="B63" s="50"/>
      <c r="C63" s="51"/>
      <c r="D63" s="52"/>
    </row>
    <row r="64" spans="1:4">
      <c r="A64" s="53"/>
      <c r="B64" s="54"/>
      <c r="C64" s="55"/>
      <c r="D64" s="56"/>
    </row>
    <row r="65" spans="1:4">
      <c r="A65" s="49"/>
      <c r="B65" s="50"/>
      <c r="C65" s="51"/>
      <c r="D65" s="52"/>
    </row>
    <row r="66" spans="1:4">
      <c r="A66" s="53"/>
      <c r="B66" s="54"/>
      <c r="C66" s="55"/>
      <c r="D66" s="56"/>
    </row>
    <row r="67" spans="1:4">
      <c r="A67" s="49"/>
      <c r="B67" s="50"/>
      <c r="C67" s="51"/>
      <c r="D67" s="52"/>
    </row>
    <row r="68" spans="1:4">
      <c r="A68" s="53"/>
      <c r="B68" s="54"/>
      <c r="C68" s="55"/>
      <c r="D68" s="56"/>
    </row>
    <row r="69" spans="1:4">
      <c r="A69" s="49"/>
      <c r="B69" s="50"/>
      <c r="C69" s="51"/>
      <c r="D69" s="52"/>
    </row>
    <row r="70" spans="1:4">
      <c r="A70" s="53"/>
      <c r="B70" s="54"/>
      <c r="C70" s="55"/>
      <c r="D70" s="56"/>
    </row>
    <row r="71" spans="1:4">
      <c r="A71" s="49"/>
      <c r="B71" s="50"/>
      <c r="C71" s="51"/>
      <c r="D71" s="52"/>
    </row>
    <row r="72" spans="1:4">
      <c r="A72" s="53"/>
      <c r="B72" s="54"/>
      <c r="C72" s="55"/>
      <c r="D72" s="56"/>
    </row>
    <row r="73" spans="1:4">
      <c r="A73" s="49"/>
      <c r="B73" s="50"/>
      <c r="C73" s="51"/>
      <c r="D73" s="52"/>
    </row>
    <row r="74" spans="1:4">
      <c r="A74" s="53"/>
      <c r="B74" s="54"/>
      <c r="C74" s="55"/>
      <c r="D74" s="58"/>
    </row>
    <row r="75" spans="1:4">
      <c r="A75" s="49"/>
      <c r="B75" s="50"/>
      <c r="C75" s="51"/>
      <c r="D75" s="52"/>
    </row>
    <row r="76" spans="1:4">
      <c r="A76" s="53"/>
      <c r="B76" s="54"/>
      <c r="C76" s="55"/>
      <c r="D76" s="56"/>
    </row>
    <row r="77" spans="1:4">
      <c r="A77" s="49"/>
      <c r="B77" s="50"/>
      <c r="C77" s="51"/>
      <c r="D77" s="52"/>
    </row>
    <row r="78" spans="1:4">
      <c r="A78" s="53"/>
      <c r="B78" s="54"/>
      <c r="C78" s="55"/>
      <c r="D78" s="56"/>
    </row>
    <row r="79" spans="1:4">
      <c r="A79" s="49"/>
      <c r="B79" s="50"/>
      <c r="C79" s="51"/>
      <c r="D79" s="52"/>
    </row>
    <row r="80" spans="1:4">
      <c r="A80" s="53"/>
      <c r="B80" s="54"/>
      <c r="C80" s="55"/>
      <c r="D80" s="56"/>
    </row>
    <row r="81" spans="1:4">
      <c r="A81" s="49"/>
      <c r="B81" s="50"/>
      <c r="C81" s="51"/>
      <c r="D81" s="52"/>
    </row>
    <row r="82" spans="1:4">
      <c r="A82" s="53"/>
      <c r="B82" s="54"/>
      <c r="C82" s="55"/>
      <c r="D82" s="56"/>
    </row>
    <row r="83" spans="1:4">
      <c r="A83" s="49"/>
      <c r="B83" s="50"/>
      <c r="C83" s="51"/>
      <c r="D83" s="52"/>
    </row>
    <row r="84" spans="1:4">
      <c r="A84" s="53"/>
      <c r="B84" s="54"/>
      <c r="C84" s="55"/>
      <c r="D84" s="56"/>
    </row>
    <row r="85" spans="1:4">
      <c r="A85" s="49"/>
      <c r="B85" s="50"/>
      <c r="C85" s="51"/>
      <c r="D85" s="52"/>
    </row>
    <row r="86" spans="1:4">
      <c r="A86" s="53"/>
      <c r="B86" s="54"/>
      <c r="C86" s="55"/>
      <c r="D86" s="58"/>
    </row>
    <row r="87" spans="1:4">
      <c r="A87" s="49"/>
      <c r="B87" s="50"/>
      <c r="C87" s="51"/>
      <c r="D87" s="52"/>
    </row>
    <row r="88" spans="1:4">
      <c r="A88" s="53"/>
      <c r="B88" s="54"/>
      <c r="C88" s="55"/>
      <c r="D88" s="56"/>
    </row>
    <row r="89" spans="1:4">
      <c r="A89" s="49"/>
      <c r="B89" s="50"/>
      <c r="C89" s="51"/>
      <c r="D89" s="52"/>
    </row>
    <row r="90" spans="1:4">
      <c r="A90" s="53"/>
      <c r="B90" s="54"/>
      <c r="C90" s="55"/>
      <c r="D90" s="56"/>
    </row>
    <row r="91" spans="1:4">
      <c r="A91" s="49"/>
      <c r="B91" s="50"/>
      <c r="C91" s="51"/>
      <c r="D91" s="52"/>
    </row>
    <row r="92" spans="1:4">
      <c r="A92" s="53"/>
      <c r="B92" s="54"/>
      <c r="C92" s="55"/>
      <c r="D92" s="56"/>
    </row>
    <row r="93" spans="1:4">
      <c r="A93" s="49"/>
      <c r="B93" s="50"/>
      <c r="C93" s="51"/>
      <c r="D93" s="52"/>
    </row>
    <row r="94" spans="1:4">
      <c r="A94" s="53"/>
      <c r="B94" s="54"/>
      <c r="C94" s="55"/>
      <c r="D94" s="56"/>
    </row>
    <row r="95" spans="1:4">
      <c r="A95" s="49"/>
      <c r="B95" s="50"/>
      <c r="C95" s="51"/>
      <c r="D95" s="52"/>
    </row>
    <row r="96" spans="1:4">
      <c r="A96" s="53"/>
      <c r="B96" s="54"/>
      <c r="C96" s="55"/>
      <c r="D96" s="56"/>
    </row>
    <row r="97" spans="1:4">
      <c r="A97" s="49"/>
      <c r="B97" s="50"/>
      <c r="C97" s="51"/>
      <c r="D97" s="52"/>
    </row>
    <row r="98" spans="1:4">
      <c r="A98" s="53"/>
      <c r="B98" s="54"/>
      <c r="C98" s="55"/>
      <c r="D98" s="58"/>
    </row>
    <row r="99" spans="1:4">
      <c r="A99" s="49"/>
      <c r="B99" s="50"/>
      <c r="C99" s="51"/>
      <c r="D99" s="52"/>
    </row>
    <row r="100" spans="1:4">
      <c r="A100" s="53"/>
      <c r="B100" s="54"/>
      <c r="C100" s="55"/>
      <c r="D100" s="56"/>
    </row>
    <row r="101" spans="1:4">
      <c r="A101" s="49"/>
      <c r="B101" s="50"/>
      <c r="C101" s="51"/>
      <c r="D101" s="52"/>
    </row>
    <row r="102" spans="1:4">
      <c r="A102" s="53"/>
      <c r="B102" s="54"/>
      <c r="C102" s="55"/>
      <c r="D102" s="56"/>
    </row>
    <row r="103" spans="1:4">
      <c r="A103" s="49"/>
      <c r="B103" s="50"/>
      <c r="C103" s="51"/>
      <c r="D103" s="52"/>
    </row>
    <row r="104" spans="1:4">
      <c r="A104" s="53"/>
      <c r="B104" s="54"/>
      <c r="C104" s="55"/>
      <c r="D104" s="56"/>
    </row>
    <row r="105" spans="1:4">
      <c r="A105" s="49"/>
      <c r="B105" s="50"/>
      <c r="C105" s="51"/>
      <c r="D105" s="52"/>
    </row>
    <row r="106" spans="1:4">
      <c r="A106" s="53"/>
      <c r="B106" s="54"/>
      <c r="C106" s="55"/>
      <c r="D106" s="56"/>
    </row>
    <row r="107" spans="1:4">
      <c r="A107" s="49"/>
      <c r="B107" s="50"/>
      <c r="C107" s="51"/>
      <c r="D107" s="52"/>
    </row>
    <row r="108" spans="1:4">
      <c r="A108" s="53"/>
      <c r="B108" s="54"/>
      <c r="C108" s="55"/>
      <c r="D108" s="56"/>
    </row>
    <row r="109" spans="1:4">
      <c r="A109" s="49"/>
      <c r="B109" s="50"/>
      <c r="C109" s="51"/>
      <c r="D109" s="52"/>
    </row>
    <row r="110" spans="1:4">
      <c r="A110" s="53"/>
      <c r="B110" s="54"/>
      <c r="C110" s="55"/>
      <c r="D110" s="58"/>
    </row>
    <row r="111" spans="1:4">
      <c r="A111" s="49"/>
      <c r="B111" s="50"/>
      <c r="C111" s="51"/>
      <c r="D111" s="52"/>
    </row>
    <row r="112" spans="1:4">
      <c r="A112" s="53"/>
      <c r="B112" s="54"/>
      <c r="C112" s="55"/>
      <c r="D112" s="56"/>
    </row>
    <row r="113" spans="1:4">
      <c r="A113" s="49"/>
      <c r="B113" s="50"/>
      <c r="C113" s="51"/>
      <c r="D113" s="52"/>
    </row>
    <row r="114" spans="1:4">
      <c r="A114" s="53"/>
      <c r="B114" s="54"/>
      <c r="C114" s="55"/>
      <c r="D114" s="56"/>
    </row>
    <row r="115" spans="1:4">
      <c r="A115" s="49"/>
      <c r="B115" s="50"/>
      <c r="C115" s="51"/>
      <c r="D115" s="52"/>
    </row>
    <row r="116" spans="1:4">
      <c r="A116" s="53"/>
      <c r="B116" s="54"/>
      <c r="C116" s="55"/>
      <c r="D116" s="56"/>
    </row>
    <row r="117" spans="1:4">
      <c r="A117" s="49"/>
      <c r="B117" s="50"/>
      <c r="C117" s="51"/>
      <c r="D117" s="52"/>
    </row>
    <row r="118" spans="1:4">
      <c r="A118" s="53"/>
      <c r="B118" s="54"/>
      <c r="C118" s="55"/>
      <c r="D118" s="56"/>
    </row>
    <row r="119" spans="1:4">
      <c r="A119" s="49"/>
      <c r="B119" s="50"/>
      <c r="C119" s="51"/>
      <c r="D119" s="52"/>
    </row>
    <row r="120" spans="1:4">
      <c r="A120" s="53"/>
      <c r="B120" s="54"/>
      <c r="C120" s="55"/>
      <c r="D120" s="56"/>
    </row>
    <row r="121" spans="1:4">
      <c r="A121" s="49"/>
      <c r="B121" s="50"/>
      <c r="C121" s="51"/>
      <c r="D121" s="52"/>
    </row>
    <row r="122" spans="1:4">
      <c r="A122" s="53"/>
      <c r="B122" s="54"/>
      <c r="C122" s="55"/>
      <c r="D122" s="58"/>
    </row>
    <row r="123" spans="1:4">
      <c r="A123" s="49"/>
      <c r="B123" s="50"/>
      <c r="C123" s="51"/>
      <c r="D123" s="52"/>
    </row>
    <row r="124" spans="1:4">
      <c r="A124" s="53"/>
      <c r="B124" s="54"/>
      <c r="C124" s="55"/>
      <c r="D124" s="56"/>
    </row>
    <row r="125" spans="1:4">
      <c r="A125" s="49"/>
      <c r="B125" s="50"/>
      <c r="C125" s="51"/>
      <c r="D125" s="52"/>
    </row>
    <row r="126" spans="1:4">
      <c r="A126" s="53"/>
      <c r="B126" s="54"/>
      <c r="C126" s="55"/>
      <c r="D126" s="56"/>
    </row>
    <row r="127" spans="1:4">
      <c r="A127" s="49"/>
      <c r="B127" s="50"/>
      <c r="C127" s="51"/>
      <c r="D127" s="52"/>
    </row>
    <row r="128" spans="1:4">
      <c r="A128" s="53"/>
      <c r="B128" s="54"/>
      <c r="C128" s="55"/>
      <c r="D128" s="56"/>
    </row>
    <row r="129" spans="1:4">
      <c r="A129" s="49"/>
      <c r="B129" s="50"/>
      <c r="C129" s="51"/>
      <c r="D129" s="52"/>
    </row>
    <row r="130" spans="1:4">
      <c r="A130" s="53"/>
      <c r="B130" s="54"/>
      <c r="C130" s="55"/>
      <c r="D130" s="56"/>
    </row>
    <row r="131" spans="1:4">
      <c r="A131" s="49"/>
      <c r="B131" s="50"/>
      <c r="C131" s="51"/>
      <c r="D131" s="52"/>
    </row>
    <row r="132" spans="1:4">
      <c r="A132" s="53"/>
      <c r="B132" s="54"/>
      <c r="C132" s="55"/>
      <c r="D132" s="56"/>
    </row>
    <row r="133" spans="1:4">
      <c r="A133" s="49"/>
      <c r="B133" s="50"/>
      <c r="C133" s="51"/>
      <c r="D133" s="52"/>
    </row>
    <row r="134" spans="1:4">
      <c r="A134" s="53"/>
      <c r="B134" s="54"/>
      <c r="C134" s="55"/>
      <c r="D134" s="58"/>
    </row>
    <row r="135" spans="1:4">
      <c r="A135" s="49"/>
      <c r="B135" s="50"/>
      <c r="C135" s="51"/>
      <c r="D135" s="52"/>
    </row>
    <row r="136" spans="1:4">
      <c r="A136" s="53"/>
      <c r="B136" s="54"/>
      <c r="C136" s="55"/>
      <c r="D136" s="56"/>
    </row>
    <row r="137" spans="1:4">
      <c r="A137" s="49"/>
      <c r="B137" s="50"/>
      <c r="C137" s="51"/>
      <c r="D137" s="52"/>
    </row>
    <row r="138" spans="1:4">
      <c r="A138" s="53"/>
      <c r="B138" s="54"/>
      <c r="C138" s="55"/>
      <c r="D138" s="56"/>
    </row>
    <row r="139" spans="1:4">
      <c r="A139" s="49"/>
      <c r="B139" s="50"/>
      <c r="C139" s="51"/>
      <c r="D139" s="52"/>
    </row>
    <row r="140" spans="1:4">
      <c r="A140" s="53"/>
      <c r="B140" s="54"/>
      <c r="C140" s="55"/>
      <c r="D140" s="56"/>
    </row>
    <row r="141" spans="1:4">
      <c r="A141" s="49"/>
      <c r="B141" s="50"/>
      <c r="C141" s="51"/>
      <c r="D141" s="52"/>
    </row>
    <row r="142" spans="1:4">
      <c r="A142" s="53"/>
      <c r="B142" s="54"/>
      <c r="C142" s="55"/>
      <c r="D142" s="56"/>
    </row>
    <row r="143" spans="1:4">
      <c r="A143" s="49"/>
      <c r="B143" s="50"/>
      <c r="C143" s="51"/>
      <c r="D143" s="52"/>
    </row>
    <row r="144" spans="1:4">
      <c r="A144" s="53"/>
      <c r="B144" s="54"/>
      <c r="C144" s="55"/>
      <c r="D144" s="56"/>
    </row>
    <row r="145" spans="1:4">
      <c r="A145" s="49"/>
      <c r="B145" s="50"/>
      <c r="C145" s="51"/>
      <c r="D145" s="52"/>
    </row>
    <row r="146" spans="1:4">
      <c r="A146" s="53"/>
      <c r="B146" s="54"/>
      <c r="C146" s="55"/>
      <c r="D146" s="58"/>
    </row>
    <row r="147" spans="1:4">
      <c r="A147" s="49"/>
      <c r="B147" s="50"/>
      <c r="C147" s="51"/>
      <c r="D147" s="52"/>
    </row>
    <row r="148" spans="1:4">
      <c r="A148" s="53"/>
      <c r="B148" s="54"/>
      <c r="C148" s="55"/>
      <c r="D148" s="56"/>
    </row>
    <row r="149" spans="1:4">
      <c r="A149" s="49"/>
      <c r="B149" s="50"/>
      <c r="C149" s="51"/>
      <c r="D149" s="52"/>
    </row>
    <row r="150" spans="1:4">
      <c r="A150" s="53"/>
      <c r="B150" s="54"/>
      <c r="C150" s="55"/>
      <c r="D150" s="56"/>
    </row>
    <row r="151" spans="1:4">
      <c r="A151" s="49"/>
      <c r="B151" s="50"/>
      <c r="C151" s="51"/>
      <c r="D151" s="52"/>
    </row>
    <row r="152" spans="1:4">
      <c r="A152" s="53"/>
      <c r="B152" s="54"/>
      <c r="C152" s="55"/>
      <c r="D152" s="56"/>
    </row>
    <row r="153" spans="1:4">
      <c r="A153" s="49"/>
      <c r="B153" s="50"/>
      <c r="C153" s="51"/>
      <c r="D153" s="52"/>
    </row>
    <row r="154" spans="1:4">
      <c r="A154" s="53"/>
      <c r="B154" s="54"/>
      <c r="C154" s="55"/>
      <c r="D154" s="56"/>
    </row>
    <row r="155" spans="1:4">
      <c r="A155" s="49"/>
      <c r="B155" s="50"/>
      <c r="C155" s="51"/>
      <c r="D155" s="52"/>
    </row>
    <row r="156" spans="1:4">
      <c r="A156" s="53"/>
      <c r="B156" s="54"/>
      <c r="C156" s="55"/>
      <c r="D156" s="56"/>
    </row>
    <row r="157" spans="1:4">
      <c r="A157" s="49"/>
      <c r="B157" s="50"/>
      <c r="C157" s="51"/>
      <c r="D157" s="52"/>
    </row>
    <row r="158" spans="1:4">
      <c r="A158" s="53"/>
      <c r="B158" s="54"/>
      <c r="C158" s="55"/>
      <c r="D158" s="58"/>
    </row>
    <row r="159" spans="1:4">
      <c r="A159" s="49"/>
      <c r="B159" s="50"/>
      <c r="C159" s="51"/>
      <c r="D159" s="52"/>
    </row>
    <row r="160" spans="1:4">
      <c r="A160" s="53"/>
      <c r="B160" s="54"/>
      <c r="C160" s="55"/>
      <c r="D160" s="56"/>
    </row>
    <row r="161" spans="1:4">
      <c r="A161" s="49"/>
      <c r="B161" s="50"/>
      <c r="C161" s="51"/>
      <c r="D161" s="52"/>
    </row>
    <row r="162" spans="1:4">
      <c r="A162" s="53"/>
      <c r="B162" s="54"/>
      <c r="C162" s="55"/>
      <c r="D162" s="56"/>
    </row>
    <row r="163" spans="1:4">
      <c r="A163" s="49"/>
      <c r="B163" s="50"/>
      <c r="C163" s="51"/>
      <c r="D163" s="52"/>
    </row>
    <row r="164" spans="1:4">
      <c r="A164" s="53"/>
      <c r="B164" s="54"/>
      <c r="C164" s="55"/>
      <c r="D164" s="56"/>
    </row>
    <row r="165" spans="1:4">
      <c r="A165" s="49"/>
      <c r="B165" s="50"/>
      <c r="C165" s="51"/>
      <c r="D165" s="52"/>
    </row>
    <row r="166" spans="1:4">
      <c r="A166" s="53"/>
      <c r="B166" s="54"/>
      <c r="C166" s="55"/>
      <c r="D166" s="56"/>
    </row>
    <row r="167" spans="1:4">
      <c r="A167" s="49"/>
      <c r="B167" s="50"/>
      <c r="C167" s="51"/>
      <c r="D167" s="52"/>
    </row>
    <row r="168" spans="1:4">
      <c r="A168" s="53"/>
      <c r="B168" s="54"/>
      <c r="C168" s="55"/>
      <c r="D168" s="56"/>
    </row>
    <row r="169" spans="1:4">
      <c r="A169" s="49"/>
      <c r="B169" s="50"/>
      <c r="C169" s="51"/>
      <c r="D169" s="52"/>
    </row>
    <row r="170" spans="1:4">
      <c r="A170" s="53"/>
      <c r="B170" s="54"/>
      <c r="C170" s="55"/>
      <c r="D170" s="58"/>
    </row>
    <row r="171" spans="1:4">
      <c r="A171" s="49"/>
      <c r="B171" s="50"/>
      <c r="C171" s="51"/>
      <c r="D171" s="52"/>
    </row>
    <row r="172" spans="1:4">
      <c r="A172" s="53"/>
      <c r="B172" s="54"/>
      <c r="C172" s="55"/>
      <c r="D172" s="56"/>
    </row>
    <row r="173" spans="1:4">
      <c r="A173" s="49"/>
      <c r="B173" s="50"/>
      <c r="C173" s="51"/>
      <c r="D173" s="52"/>
    </row>
    <row r="174" spans="1:4">
      <c r="A174" s="53"/>
      <c r="B174" s="54"/>
      <c r="C174" s="55"/>
      <c r="D174" s="56"/>
    </row>
    <row r="175" spans="1:4">
      <c r="A175" s="49"/>
      <c r="B175" s="50"/>
      <c r="C175" s="51"/>
      <c r="D175" s="52"/>
    </row>
    <row r="176" spans="1:4">
      <c r="A176" s="53"/>
      <c r="B176" s="54"/>
      <c r="C176" s="55"/>
      <c r="D176" s="56"/>
    </row>
    <row r="177" spans="1:4">
      <c r="A177" s="49"/>
      <c r="B177" s="50"/>
      <c r="C177" s="51"/>
      <c r="D177" s="52"/>
    </row>
    <row r="178" spans="1:4">
      <c r="A178" s="53"/>
      <c r="B178" s="54"/>
      <c r="C178" s="55"/>
      <c r="D178" s="56"/>
    </row>
    <row r="179" spans="1:4">
      <c r="A179" s="49"/>
      <c r="B179" s="50"/>
      <c r="C179" s="51"/>
      <c r="D179" s="52"/>
    </row>
    <row r="180" spans="1:4">
      <c r="A180" s="53"/>
      <c r="B180" s="54"/>
      <c r="C180" s="55"/>
      <c r="D180" s="56"/>
    </row>
    <row r="181" spans="1:4">
      <c r="A181" s="49"/>
      <c r="B181" s="50"/>
      <c r="C181" s="51"/>
      <c r="D181" s="52"/>
    </row>
    <row r="182" spans="1:4">
      <c r="A182" s="53"/>
      <c r="B182" s="54"/>
      <c r="C182" s="55"/>
      <c r="D182" s="58"/>
    </row>
    <row r="183" spans="1:4">
      <c r="A183" s="49"/>
      <c r="B183" s="50"/>
      <c r="C183" s="51"/>
      <c r="D183" s="52"/>
    </row>
    <row r="184" spans="1:4">
      <c r="A184" s="53"/>
      <c r="B184" s="54"/>
      <c r="C184" s="55"/>
      <c r="D184" s="56"/>
    </row>
    <row r="185" spans="1:4">
      <c r="A185" s="49"/>
      <c r="B185" s="50"/>
      <c r="C185" s="51"/>
      <c r="D185" s="52"/>
    </row>
    <row r="186" spans="1:4">
      <c r="A186" s="53"/>
      <c r="B186" s="54"/>
      <c r="C186" s="55"/>
      <c r="D186" s="56"/>
    </row>
    <row r="187" spans="1:4">
      <c r="A187" s="49"/>
      <c r="B187" s="50"/>
      <c r="C187" s="51"/>
      <c r="D187" s="52"/>
    </row>
    <row r="188" spans="1:4">
      <c r="A188" s="53"/>
      <c r="B188" s="54"/>
      <c r="C188" s="55"/>
      <c r="D188" s="56"/>
    </row>
    <row r="189" spans="1:4">
      <c r="A189" s="49"/>
      <c r="B189" s="50"/>
      <c r="C189" s="51"/>
      <c r="D189" s="52"/>
    </row>
    <row r="190" spans="1:4">
      <c r="A190" s="53"/>
      <c r="B190" s="54"/>
      <c r="C190" s="55"/>
      <c r="D190" s="56"/>
    </row>
    <row r="191" spans="1:4">
      <c r="A191" s="49"/>
      <c r="B191" s="50"/>
      <c r="C191" s="51"/>
      <c r="D191" s="52"/>
    </row>
    <row r="192" spans="1:4">
      <c r="A192" s="53"/>
      <c r="B192" s="54"/>
      <c r="C192" s="55"/>
      <c r="D192" s="56"/>
    </row>
    <row r="193" spans="1:4">
      <c r="A193" s="49"/>
      <c r="B193" s="50"/>
      <c r="C193" s="51"/>
      <c r="D193" s="52"/>
    </row>
    <row r="194" spans="1:4">
      <c r="A194" s="53"/>
      <c r="B194" s="54"/>
      <c r="C194" s="55"/>
      <c r="D194" s="58"/>
    </row>
    <row r="195" spans="1:4">
      <c r="A195" s="49"/>
      <c r="B195" s="50"/>
      <c r="C195" s="51"/>
      <c r="D195" s="52"/>
    </row>
    <row r="196" spans="1:4">
      <c r="A196" s="53"/>
      <c r="B196" s="54"/>
      <c r="C196" s="55"/>
      <c r="D196" s="56"/>
    </row>
    <row r="197" spans="1:4">
      <c r="A197" s="49"/>
      <c r="B197" s="50"/>
      <c r="C197" s="51"/>
      <c r="D197" s="52"/>
    </row>
    <row r="198" spans="1:4">
      <c r="A198" s="53"/>
      <c r="B198" s="54"/>
      <c r="C198" s="55"/>
      <c r="D198" s="56"/>
    </row>
    <row r="199" spans="1:4">
      <c r="A199" s="49"/>
      <c r="B199" s="50"/>
      <c r="C199" s="51"/>
      <c r="D199" s="52"/>
    </row>
    <row r="200" spans="1:4">
      <c r="A200" s="53"/>
      <c r="B200" s="54"/>
      <c r="C200" s="55"/>
      <c r="D200" s="56"/>
    </row>
    <row r="201" spans="1:4">
      <c r="A201" s="49"/>
      <c r="B201" s="50"/>
      <c r="C201" s="51"/>
      <c r="D201" s="52"/>
    </row>
    <row r="202" spans="1:4">
      <c r="A202" s="53"/>
      <c r="B202" s="54"/>
      <c r="C202" s="55"/>
      <c r="D202" s="56"/>
    </row>
    <row r="203" spans="1:4">
      <c r="A203" s="77" t="s">
        <v>50</v>
      </c>
      <c r="B203" s="77"/>
      <c r="C203" s="60">
        <f>SUM(C3:C202)</f>
        <v>2074</v>
      </c>
      <c r="D203" s="52"/>
    </row>
    <row r="204" spans="1:4">
      <c r="D204" s="56"/>
    </row>
    <row r="205" spans="1:4">
      <c r="D205" s="52"/>
    </row>
    <row r="206" spans="1:4">
      <c r="D206" s="58"/>
    </row>
    <row r="207" spans="1:4">
      <c r="D207" s="52"/>
    </row>
    <row r="208" spans="1:4">
      <c r="D208" s="56"/>
    </row>
  </sheetData>
  <mergeCells count="2">
    <mergeCell ref="A1:C1"/>
    <mergeCell ref="A203:B203"/>
  </mergeCells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showGridLines="0" zoomScaleNormal="100" workbookViewId="0">
      <selection activeCell="B23" sqref="B23"/>
    </sheetView>
  </sheetViews>
  <sheetFormatPr defaultColWidth="8.7109375" defaultRowHeight="15"/>
  <cols>
    <col min="1" max="1" width="30" customWidth="1"/>
    <col min="2" max="2" width="14" customWidth="1"/>
    <col min="3" max="4" width="16" customWidth="1"/>
    <col min="5" max="5" width="14" customWidth="1"/>
    <col min="6" max="7" width="9" bestFit="1" customWidth="1"/>
  </cols>
  <sheetData>
    <row r="1" spans="1:7" ht="34.5" customHeight="1">
      <c r="A1" s="67" t="s">
        <v>111</v>
      </c>
      <c r="B1" s="67"/>
      <c r="C1" s="67"/>
      <c r="D1" s="67"/>
      <c r="E1" s="67"/>
    </row>
    <row r="2" spans="1:7" ht="21.75" customHeight="1">
      <c r="A2" s="5" t="s">
        <v>23</v>
      </c>
      <c r="B2" s="5" t="s">
        <v>112</v>
      </c>
      <c r="C2" s="5" t="s">
        <v>26</v>
      </c>
      <c r="D2" s="5" t="s">
        <v>113</v>
      </c>
      <c r="E2" s="5" t="s">
        <v>114</v>
      </c>
    </row>
    <row r="3" spans="1:7" ht="18" customHeight="1">
      <c r="A3" s="16" t="s">
        <v>115</v>
      </c>
      <c r="B3" s="33">
        <v>46179</v>
      </c>
      <c r="C3" s="63">
        <v>0</v>
      </c>
      <c r="D3" s="63">
        <v>12</v>
      </c>
      <c r="E3" s="63">
        <f t="shared" ref="E3:E33" si="0">IF(D3&lt;&gt;"",D3-C3,"")</f>
        <v>12</v>
      </c>
    </row>
    <row r="4" spans="1:7" ht="18" customHeight="1">
      <c r="A4" s="17" t="s">
        <v>116</v>
      </c>
      <c r="B4" s="38">
        <v>46179</v>
      </c>
      <c r="C4" s="65">
        <v>0</v>
      </c>
      <c r="D4" s="65">
        <v>10</v>
      </c>
      <c r="E4" s="65">
        <f t="shared" si="0"/>
        <v>10</v>
      </c>
    </row>
    <row r="5" spans="1:7" ht="18" customHeight="1">
      <c r="A5" s="16" t="s">
        <v>117</v>
      </c>
      <c r="B5" s="33">
        <v>46179</v>
      </c>
      <c r="C5" s="63">
        <v>30</v>
      </c>
      <c r="D5" s="63">
        <v>65</v>
      </c>
      <c r="E5" s="63">
        <f t="shared" si="0"/>
        <v>35</v>
      </c>
    </row>
    <row r="6" spans="1:7" ht="18" customHeight="1">
      <c r="A6" s="17" t="s">
        <v>118</v>
      </c>
      <c r="B6" s="38">
        <v>46179</v>
      </c>
      <c r="C6" s="65">
        <v>0</v>
      </c>
      <c r="D6" s="65">
        <v>480</v>
      </c>
      <c r="E6" s="65">
        <f t="shared" si="0"/>
        <v>480</v>
      </c>
    </row>
    <row r="7" spans="1:7" ht="18" customHeight="1">
      <c r="A7" s="16" t="s">
        <v>119</v>
      </c>
      <c r="B7" s="33">
        <v>46179</v>
      </c>
      <c r="C7" s="63">
        <v>153</v>
      </c>
      <c r="D7" s="63">
        <v>170</v>
      </c>
      <c r="E7" s="63">
        <f t="shared" si="0"/>
        <v>17</v>
      </c>
      <c r="G7" s="20"/>
    </row>
    <row r="8" spans="1:7" ht="18" customHeight="1">
      <c r="A8" s="17" t="s">
        <v>120</v>
      </c>
      <c r="B8" s="38">
        <v>46179</v>
      </c>
      <c r="C8" s="65">
        <v>297</v>
      </c>
      <c r="D8" s="65">
        <v>330</v>
      </c>
      <c r="E8" s="65">
        <f t="shared" si="0"/>
        <v>33</v>
      </c>
    </row>
    <row r="9" spans="1:7" ht="18" customHeight="1">
      <c r="A9" s="16" t="s">
        <v>121</v>
      </c>
      <c r="B9" s="33">
        <v>46179</v>
      </c>
      <c r="C9" s="63">
        <v>538</v>
      </c>
      <c r="D9" s="63">
        <v>1030</v>
      </c>
      <c r="E9" s="63">
        <f t="shared" si="0"/>
        <v>492</v>
      </c>
    </row>
    <row r="10" spans="1:7" ht="18" customHeight="1">
      <c r="A10" s="17" t="s">
        <v>122</v>
      </c>
      <c r="B10" s="38">
        <v>46179</v>
      </c>
      <c r="C10" s="65">
        <v>416.4</v>
      </c>
      <c r="D10" s="65">
        <v>500</v>
      </c>
      <c r="E10" s="65">
        <f t="shared" si="0"/>
        <v>83.600000000000023</v>
      </c>
    </row>
    <row r="11" spans="1:7" ht="18" customHeight="1">
      <c r="A11" s="16" t="s">
        <v>123</v>
      </c>
      <c r="B11" s="33">
        <v>46179</v>
      </c>
      <c r="C11" s="63">
        <v>140</v>
      </c>
      <c r="D11" s="63">
        <v>200</v>
      </c>
      <c r="E11" s="63">
        <f t="shared" si="0"/>
        <v>60</v>
      </c>
    </row>
    <row r="12" spans="1:7" ht="18" customHeight="1">
      <c r="A12" s="17" t="s">
        <v>124</v>
      </c>
      <c r="B12" s="38">
        <v>46179</v>
      </c>
      <c r="C12" s="65">
        <v>467.5</v>
      </c>
      <c r="D12" s="65">
        <v>630</v>
      </c>
      <c r="E12" s="65">
        <f t="shared" si="0"/>
        <v>162.5</v>
      </c>
    </row>
    <row r="13" spans="1:7" ht="18" customHeight="1">
      <c r="A13" s="39"/>
      <c r="B13" s="40"/>
      <c r="C13" s="41"/>
      <c r="D13" s="41"/>
      <c r="E13" s="41" t="str">
        <f t="shared" si="0"/>
        <v/>
      </c>
      <c r="F13" s="20">
        <f>SUM(E3:E12)</f>
        <v>1385.1</v>
      </c>
    </row>
    <row r="14" spans="1:7" ht="18" customHeight="1">
      <c r="A14" s="17" t="s">
        <v>125</v>
      </c>
      <c r="B14" s="38">
        <v>46180</v>
      </c>
      <c r="C14" s="65">
        <v>3695</v>
      </c>
      <c r="D14" s="65">
        <v>4140</v>
      </c>
      <c r="E14" s="65">
        <f t="shared" si="0"/>
        <v>445</v>
      </c>
    </row>
    <row r="15" spans="1:7" ht="18" customHeight="1">
      <c r="A15" s="16" t="s">
        <v>126</v>
      </c>
      <c r="B15" s="33">
        <v>46180</v>
      </c>
      <c r="C15" s="63">
        <v>0</v>
      </c>
      <c r="D15" s="78">
        <v>4765</v>
      </c>
      <c r="E15" s="63">
        <f t="shared" si="0"/>
        <v>4765</v>
      </c>
    </row>
    <row r="16" spans="1:7" ht="18" customHeight="1">
      <c r="A16" s="17" t="s">
        <v>127</v>
      </c>
      <c r="B16" s="38">
        <v>46180</v>
      </c>
      <c r="C16" s="65">
        <v>0</v>
      </c>
      <c r="D16" s="79"/>
      <c r="E16" s="65" t="str">
        <f t="shared" si="0"/>
        <v/>
      </c>
    </row>
    <row r="17" spans="1:5" ht="18" customHeight="1">
      <c r="A17" s="16" t="s">
        <v>128</v>
      </c>
      <c r="B17" s="33">
        <v>46180</v>
      </c>
      <c r="C17" s="63">
        <v>0</v>
      </c>
      <c r="D17" s="80"/>
      <c r="E17" s="63" t="str">
        <f t="shared" si="0"/>
        <v/>
      </c>
    </row>
    <row r="18" spans="1:5" ht="18" customHeight="1">
      <c r="A18" s="16" t="s">
        <v>129</v>
      </c>
      <c r="B18" s="33">
        <v>46179</v>
      </c>
      <c r="C18" s="63">
        <v>65</v>
      </c>
      <c r="D18" s="63">
        <v>65</v>
      </c>
      <c r="E18" s="63">
        <f t="shared" si="0"/>
        <v>0</v>
      </c>
    </row>
    <row r="19" spans="1:5" ht="18" customHeight="1">
      <c r="A19" s="17" t="s">
        <v>130</v>
      </c>
      <c r="B19" s="38">
        <v>46182</v>
      </c>
      <c r="C19" s="65">
        <v>80</v>
      </c>
      <c r="D19" s="65">
        <v>120</v>
      </c>
      <c r="E19" s="65">
        <f t="shared" si="0"/>
        <v>40</v>
      </c>
    </row>
    <row r="20" spans="1:5" ht="18" customHeight="1">
      <c r="A20" s="16" t="s">
        <v>131</v>
      </c>
      <c r="B20" s="33">
        <v>46185</v>
      </c>
      <c r="C20" s="63">
        <v>400</v>
      </c>
      <c r="D20" s="63">
        <v>421.73</v>
      </c>
      <c r="E20" s="63">
        <f t="shared" si="0"/>
        <v>21.730000000000018</v>
      </c>
    </row>
    <row r="21" spans="1:5" ht="18" customHeight="1">
      <c r="A21" s="17"/>
      <c r="B21" s="38"/>
      <c r="C21" s="65"/>
      <c r="D21" s="65"/>
      <c r="E21" s="65"/>
    </row>
    <row r="22" spans="1:5" ht="18" customHeight="1">
      <c r="A22" s="16"/>
      <c r="B22" s="33"/>
      <c r="C22" s="63"/>
      <c r="D22" s="63"/>
      <c r="E22" s="63" t="str">
        <f t="shared" si="0"/>
        <v/>
      </c>
    </row>
    <row r="23" spans="1:5" ht="18" customHeight="1">
      <c r="A23" s="17"/>
      <c r="B23" s="38"/>
      <c r="C23" s="65"/>
      <c r="D23" s="65"/>
      <c r="E23" s="65" t="str">
        <f t="shared" si="0"/>
        <v/>
      </c>
    </row>
    <row r="24" spans="1:5" ht="18" customHeight="1">
      <c r="A24" s="16"/>
      <c r="B24" s="33"/>
      <c r="C24" s="63"/>
      <c r="D24" s="63"/>
      <c r="E24" s="63" t="str">
        <f t="shared" si="0"/>
        <v/>
      </c>
    </row>
    <row r="25" spans="1:5" ht="18" customHeight="1">
      <c r="A25" s="17"/>
      <c r="B25" s="38"/>
      <c r="C25" s="65"/>
      <c r="D25" s="65"/>
      <c r="E25" s="65" t="str">
        <f t="shared" si="0"/>
        <v/>
      </c>
    </row>
    <row r="26" spans="1:5" ht="18" customHeight="1">
      <c r="A26" s="16"/>
      <c r="B26" s="33"/>
      <c r="C26" s="63"/>
      <c r="D26" s="63"/>
      <c r="E26" s="63" t="str">
        <f t="shared" si="0"/>
        <v/>
      </c>
    </row>
    <row r="27" spans="1:5" ht="18" customHeight="1">
      <c r="A27" s="17"/>
      <c r="B27" s="38"/>
      <c r="C27" s="65"/>
      <c r="D27" s="65"/>
      <c r="E27" s="65" t="str">
        <f t="shared" si="0"/>
        <v/>
      </c>
    </row>
    <row r="28" spans="1:5" ht="18" customHeight="1">
      <c r="A28" s="16"/>
      <c r="B28" s="33"/>
      <c r="C28" s="63"/>
      <c r="D28" s="63"/>
      <c r="E28" s="63" t="str">
        <f t="shared" si="0"/>
        <v/>
      </c>
    </row>
    <row r="29" spans="1:5" ht="18" customHeight="1">
      <c r="A29" s="17"/>
      <c r="B29" s="38"/>
      <c r="C29" s="65"/>
      <c r="D29" s="65"/>
      <c r="E29" s="65" t="str">
        <f t="shared" si="0"/>
        <v/>
      </c>
    </row>
    <row r="30" spans="1:5" ht="18" customHeight="1">
      <c r="A30" s="16"/>
      <c r="B30" s="33"/>
      <c r="C30" s="63"/>
      <c r="D30" s="63"/>
      <c r="E30" s="63" t="str">
        <f t="shared" si="0"/>
        <v/>
      </c>
    </row>
    <row r="31" spans="1:5" ht="18" customHeight="1">
      <c r="A31" s="17"/>
      <c r="B31" s="38"/>
      <c r="C31" s="65"/>
      <c r="D31" s="65"/>
      <c r="E31" s="65" t="str">
        <f t="shared" si="0"/>
        <v/>
      </c>
    </row>
    <row r="32" spans="1:5" ht="18" customHeight="1">
      <c r="A32" s="16"/>
      <c r="B32" s="33"/>
      <c r="C32" s="63"/>
      <c r="D32" s="63"/>
      <c r="E32" s="63" t="str">
        <f t="shared" si="0"/>
        <v/>
      </c>
    </row>
    <row r="33" spans="1:5" ht="18" customHeight="1">
      <c r="A33" s="17"/>
      <c r="B33" s="38"/>
      <c r="C33" s="65"/>
      <c r="D33" s="65"/>
      <c r="E33" s="65" t="str">
        <f t="shared" si="0"/>
        <v/>
      </c>
    </row>
    <row r="34" spans="1:5" ht="18" customHeight="1">
      <c r="A34" s="16"/>
      <c r="B34" s="33"/>
      <c r="C34" s="63"/>
      <c r="D34" s="63"/>
      <c r="E34" s="63" t="str">
        <f t="shared" ref="E34:E65" si="1">IF(D34&lt;&gt;"",D34-C34,"")</f>
        <v/>
      </c>
    </row>
    <row r="35" spans="1:5" ht="18" customHeight="1">
      <c r="A35" s="17"/>
      <c r="B35" s="38"/>
      <c r="C35" s="65"/>
      <c r="D35" s="65"/>
      <c r="E35" s="65" t="str">
        <f t="shared" si="1"/>
        <v/>
      </c>
    </row>
    <row r="36" spans="1:5" ht="18" customHeight="1">
      <c r="A36" s="16"/>
      <c r="B36" s="33"/>
      <c r="C36" s="63"/>
      <c r="D36" s="63"/>
      <c r="E36" s="63" t="str">
        <f t="shared" si="1"/>
        <v/>
      </c>
    </row>
    <row r="37" spans="1:5" ht="18" customHeight="1">
      <c r="A37" s="17"/>
      <c r="B37" s="38"/>
      <c r="C37" s="65"/>
      <c r="D37" s="65"/>
      <c r="E37" s="65" t="str">
        <f t="shared" si="1"/>
        <v/>
      </c>
    </row>
    <row r="38" spans="1:5" ht="18" customHeight="1">
      <c r="A38" s="16"/>
      <c r="B38" s="33"/>
      <c r="C38" s="63"/>
      <c r="D38" s="63"/>
      <c r="E38" s="63" t="str">
        <f t="shared" si="1"/>
        <v/>
      </c>
    </row>
    <row r="39" spans="1:5" ht="18" customHeight="1">
      <c r="A39" s="17"/>
      <c r="B39" s="38"/>
      <c r="C39" s="65"/>
      <c r="D39" s="65"/>
      <c r="E39" s="65" t="str">
        <f t="shared" si="1"/>
        <v/>
      </c>
    </row>
    <row r="40" spans="1:5" ht="18" customHeight="1">
      <c r="A40" s="16"/>
      <c r="B40" s="33"/>
      <c r="C40" s="63"/>
      <c r="D40" s="63"/>
      <c r="E40" s="63" t="str">
        <f t="shared" si="1"/>
        <v/>
      </c>
    </row>
    <row r="41" spans="1:5" ht="18" customHeight="1">
      <c r="A41" s="17"/>
      <c r="B41" s="38"/>
      <c r="C41" s="65"/>
      <c r="D41" s="65"/>
      <c r="E41" s="65" t="str">
        <f t="shared" si="1"/>
        <v/>
      </c>
    </row>
    <row r="42" spans="1:5" ht="18" customHeight="1">
      <c r="A42" s="16"/>
      <c r="B42" s="33"/>
      <c r="C42" s="63"/>
      <c r="D42" s="63"/>
      <c r="E42" s="63" t="str">
        <f t="shared" si="1"/>
        <v/>
      </c>
    </row>
    <row r="43" spans="1:5" ht="18" customHeight="1">
      <c r="A43" s="17"/>
      <c r="B43" s="38"/>
      <c r="C43" s="65"/>
      <c r="D43" s="65"/>
      <c r="E43" s="65" t="str">
        <f t="shared" si="1"/>
        <v/>
      </c>
    </row>
    <row r="44" spans="1:5" ht="18" customHeight="1">
      <c r="A44" s="16"/>
      <c r="B44" s="33"/>
      <c r="C44" s="63"/>
      <c r="D44" s="63"/>
      <c r="E44" s="63" t="str">
        <f t="shared" si="1"/>
        <v/>
      </c>
    </row>
    <row r="45" spans="1:5" ht="18" customHeight="1">
      <c r="A45" s="17"/>
      <c r="B45" s="38"/>
      <c r="C45" s="65"/>
      <c r="D45" s="65"/>
      <c r="E45" s="65" t="str">
        <f t="shared" si="1"/>
        <v/>
      </c>
    </row>
    <row r="46" spans="1:5" ht="18" customHeight="1">
      <c r="A46" s="16"/>
      <c r="B46" s="33"/>
      <c r="C46" s="63"/>
      <c r="D46" s="63"/>
      <c r="E46" s="63" t="str">
        <f t="shared" si="1"/>
        <v/>
      </c>
    </row>
    <row r="47" spans="1:5" ht="18" customHeight="1">
      <c r="A47" s="17"/>
      <c r="B47" s="38"/>
      <c r="C47" s="65"/>
      <c r="D47" s="65"/>
      <c r="E47" s="65" t="str">
        <f t="shared" si="1"/>
        <v/>
      </c>
    </row>
    <row r="48" spans="1:5" ht="18" customHeight="1">
      <c r="A48" s="16"/>
      <c r="B48" s="33"/>
      <c r="C48" s="63"/>
      <c r="D48" s="63"/>
      <c r="E48" s="63" t="str">
        <f t="shared" si="1"/>
        <v/>
      </c>
    </row>
    <row r="49" spans="1:5" ht="18" customHeight="1">
      <c r="A49" s="17"/>
      <c r="B49" s="38"/>
      <c r="C49" s="65"/>
      <c r="D49" s="65"/>
      <c r="E49" s="65" t="str">
        <f t="shared" si="1"/>
        <v/>
      </c>
    </row>
    <row r="50" spans="1:5" ht="18" customHeight="1">
      <c r="A50" s="16"/>
      <c r="B50" s="33"/>
      <c r="C50" s="63"/>
      <c r="D50" s="63"/>
      <c r="E50" s="63" t="str">
        <f t="shared" si="1"/>
        <v/>
      </c>
    </row>
    <row r="51" spans="1:5" ht="18" customHeight="1">
      <c r="A51" s="17"/>
      <c r="B51" s="38"/>
      <c r="C51" s="65"/>
      <c r="D51" s="65"/>
      <c r="E51" s="65" t="str">
        <f t="shared" si="1"/>
        <v/>
      </c>
    </row>
    <row r="52" spans="1:5" ht="18" customHeight="1">
      <c r="A52" s="16"/>
      <c r="B52" s="33"/>
      <c r="C52" s="63"/>
      <c r="D52" s="63"/>
      <c r="E52" s="63" t="str">
        <f t="shared" si="1"/>
        <v/>
      </c>
    </row>
    <row r="53" spans="1:5" ht="18" customHeight="1">
      <c r="A53" s="17"/>
      <c r="B53" s="38"/>
      <c r="C53" s="65"/>
      <c r="D53" s="65"/>
      <c r="E53" s="65" t="str">
        <f t="shared" si="1"/>
        <v/>
      </c>
    </row>
    <row r="54" spans="1:5" ht="18" customHeight="1">
      <c r="A54" s="16"/>
      <c r="B54" s="33"/>
      <c r="C54" s="63"/>
      <c r="D54" s="63"/>
      <c r="E54" s="63" t="str">
        <f t="shared" si="1"/>
        <v/>
      </c>
    </row>
    <row r="55" spans="1:5" ht="18" customHeight="1">
      <c r="A55" s="17"/>
      <c r="B55" s="38"/>
      <c r="C55" s="65"/>
      <c r="D55" s="65"/>
      <c r="E55" s="65" t="str">
        <f t="shared" si="1"/>
        <v/>
      </c>
    </row>
    <row r="56" spans="1:5" ht="18" customHeight="1">
      <c r="A56" s="16"/>
      <c r="B56" s="33"/>
      <c r="C56" s="63"/>
      <c r="D56" s="63"/>
      <c r="E56" s="63" t="str">
        <f t="shared" si="1"/>
        <v/>
      </c>
    </row>
    <row r="57" spans="1:5" ht="18" customHeight="1">
      <c r="A57" s="17"/>
      <c r="B57" s="38"/>
      <c r="C57" s="65"/>
      <c r="D57" s="65"/>
      <c r="E57" s="65" t="str">
        <f t="shared" si="1"/>
        <v/>
      </c>
    </row>
    <row r="58" spans="1:5" ht="18" customHeight="1">
      <c r="A58" s="16"/>
      <c r="B58" s="33"/>
      <c r="C58" s="63"/>
      <c r="D58" s="63"/>
      <c r="E58" s="63" t="str">
        <f t="shared" si="1"/>
        <v/>
      </c>
    </row>
    <row r="59" spans="1:5" ht="18" customHeight="1">
      <c r="A59" s="17"/>
      <c r="B59" s="38"/>
      <c r="C59" s="65"/>
      <c r="D59" s="65"/>
      <c r="E59" s="65" t="str">
        <f t="shared" si="1"/>
        <v/>
      </c>
    </row>
    <row r="60" spans="1:5" ht="18" customHeight="1">
      <c r="A60" s="16"/>
      <c r="B60" s="33"/>
      <c r="C60" s="63"/>
      <c r="D60" s="63"/>
      <c r="E60" s="63" t="str">
        <f t="shared" si="1"/>
        <v/>
      </c>
    </row>
    <row r="61" spans="1:5" ht="18" customHeight="1">
      <c r="A61" s="17"/>
      <c r="B61" s="38"/>
      <c r="C61" s="65"/>
      <c r="D61" s="65"/>
      <c r="E61" s="65" t="str">
        <f t="shared" si="1"/>
        <v/>
      </c>
    </row>
    <row r="62" spans="1:5" ht="18" customHeight="1">
      <c r="A62" s="16"/>
      <c r="B62" s="33"/>
      <c r="C62" s="63"/>
      <c r="D62" s="63"/>
      <c r="E62" s="63" t="str">
        <f t="shared" si="1"/>
        <v/>
      </c>
    </row>
    <row r="63" spans="1:5" ht="18" customHeight="1">
      <c r="A63" s="17"/>
      <c r="B63" s="38"/>
      <c r="C63" s="65"/>
      <c r="D63" s="65"/>
      <c r="E63" s="65" t="str">
        <f t="shared" si="1"/>
        <v/>
      </c>
    </row>
    <row r="64" spans="1:5" ht="18" customHeight="1">
      <c r="A64" s="16"/>
      <c r="B64" s="33"/>
      <c r="C64" s="63"/>
      <c r="D64" s="63"/>
      <c r="E64" s="63" t="str">
        <f t="shared" si="1"/>
        <v/>
      </c>
    </row>
    <row r="65" spans="1:5" ht="18" customHeight="1">
      <c r="A65" s="17"/>
      <c r="B65" s="38"/>
      <c r="C65" s="65"/>
      <c r="D65" s="65"/>
      <c r="E65" s="65" t="str">
        <f t="shared" si="1"/>
        <v/>
      </c>
    </row>
    <row r="66" spans="1:5" ht="18" customHeight="1">
      <c r="A66" s="16"/>
      <c r="B66" s="33"/>
      <c r="C66" s="63"/>
      <c r="D66" s="63"/>
      <c r="E66" s="63" t="str">
        <f t="shared" ref="E66:E97" si="2">IF(D66&lt;&gt;"",D66-C66,"")</f>
        <v/>
      </c>
    </row>
    <row r="67" spans="1:5" ht="18" customHeight="1">
      <c r="A67" s="17"/>
      <c r="B67" s="38"/>
      <c r="C67" s="65"/>
      <c r="D67" s="65"/>
      <c r="E67" s="65" t="str">
        <f t="shared" si="2"/>
        <v/>
      </c>
    </row>
    <row r="68" spans="1:5" ht="18" customHeight="1">
      <c r="A68" s="16"/>
      <c r="B68" s="33"/>
      <c r="C68" s="63"/>
      <c r="D68" s="63"/>
      <c r="E68" s="63" t="str">
        <f t="shared" si="2"/>
        <v/>
      </c>
    </row>
    <row r="69" spans="1:5" ht="18" customHeight="1">
      <c r="A69" s="17"/>
      <c r="B69" s="38"/>
      <c r="C69" s="65"/>
      <c r="D69" s="65"/>
      <c r="E69" s="65" t="str">
        <f t="shared" si="2"/>
        <v/>
      </c>
    </row>
    <row r="70" spans="1:5" ht="18" customHeight="1">
      <c r="A70" s="16"/>
      <c r="B70" s="33"/>
      <c r="C70" s="63"/>
      <c r="D70" s="63"/>
      <c r="E70" s="63" t="str">
        <f t="shared" si="2"/>
        <v/>
      </c>
    </row>
    <row r="71" spans="1:5" ht="18" customHeight="1">
      <c r="A71" s="17"/>
      <c r="B71" s="38"/>
      <c r="C71" s="65"/>
      <c r="D71" s="65"/>
      <c r="E71" s="65" t="str">
        <f t="shared" si="2"/>
        <v/>
      </c>
    </row>
    <row r="72" spans="1:5" ht="18" customHeight="1">
      <c r="A72" s="16"/>
      <c r="B72" s="33"/>
      <c r="C72" s="63"/>
      <c r="D72" s="63"/>
      <c r="E72" s="63" t="str">
        <f t="shared" si="2"/>
        <v/>
      </c>
    </row>
    <row r="73" spans="1:5" ht="18" customHeight="1">
      <c r="A73" s="17"/>
      <c r="B73" s="38"/>
      <c r="C73" s="65"/>
      <c r="D73" s="65"/>
      <c r="E73" s="65" t="str">
        <f t="shared" si="2"/>
        <v/>
      </c>
    </row>
    <row r="74" spans="1:5" ht="18" customHeight="1">
      <c r="A74" s="16"/>
      <c r="B74" s="33"/>
      <c r="C74" s="63"/>
      <c r="D74" s="63"/>
      <c r="E74" s="63" t="str">
        <f t="shared" si="2"/>
        <v/>
      </c>
    </row>
    <row r="75" spans="1:5" ht="18" customHeight="1">
      <c r="A75" s="17"/>
      <c r="B75" s="38"/>
      <c r="C75" s="65"/>
      <c r="D75" s="65"/>
      <c r="E75" s="65" t="str">
        <f t="shared" si="2"/>
        <v/>
      </c>
    </row>
    <row r="76" spans="1:5" ht="18" customHeight="1">
      <c r="A76" s="16"/>
      <c r="B76" s="33"/>
      <c r="C76" s="63"/>
      <c r="D76" s="63"/>
      <c r="E76" s="63" t="str">
        <f t="shared" si="2"/>
        <v/>
      </c>
    </row>
    <row r="77" spans="1:5" ht="18" customHeight="1">
      <c r="A77" s="17"/>
      <c r="B77" s="38"/>
      <c r="C77" s="65"/>
      <c r="D77" s="65"/>
      <c r="E77" s="65" t="str">
        <f t="shared" si="2"/>
        <v/>
      </c>
    </row>
    <row r="78" spans="1:5" ht="18" customHeight="1">
      <c r="A78" s="16"/>
      <c r="B78" s="33"/>
      <c r="C78" s="63"/>
      <c r="D78" s="63"/>
      <c r="E78" s="63" t="str">
        <f t="shared" si="2"/>
        <v/>
      </c>
    </row>
    <row r="79" spans="1:5" ht="18" customHeight="1">
      <c r="A79" s="17"/>
      <c r="B79" s="38"/>
      <c r="C79" s="65"/>
      <c r="D79" s="65"/>
      <c r="E79" s="65" t="str">
        <f t="shared" si="2"/>
        <v/>
      </c>
    </row>
    <row r="80" spans="1:5" ht="18" customHeight="1">
      <c r="A80" s="16"/>
      <c r="B80" s="33"/>
      <c r="C80" s="63"/>
      <c r="D80" s="63"/>
      <c r="E80" s="63" t="str">
        <f t="shared" si="2"/>
        <v/>
      </c>
    </row>
    <row r="81" spans="1:5" ht="18" customHeight="1">
      <c r="A81" s="17"/>
      <c r="B81" s="38"/>
      <c r="C81" s="65"/>
      <c r="D81" s="65"/>
      <c r="E81" s="65" t="str">
        <f t="shared" si="2"/>
        <v/>
      </c>
    </row>
    <row r="82" spans="1:5" ht="18" customHeight="1">
      <c r="A82" s="16"/>
      <c r="B82" s="33"/>
      <c r="C82" s="63"/>
      <c r="D82" s="63"/>
      <c r="E82" s="63" t="str">
        <f t="shared" si="2"/>
        <v/>
      </c>
    </row>
    <row r="83" spans="1:5" ht="18" customHeight="1">
      <c r="A83" s="17"/>
      <c r="B83" s="38"/>
      <c r="C83" s="65"/>
      <c r="D83" s="65"/>
      <c r="E83" s="65" t="str">
        <f t="shared" si="2"/>
        <v/>
      </c>
    </row>
    <row r="84" spans="1:5" ht="18" customHeight="1">
      <c r="A84" s="16"/>
      <c r="B84" s="33"/>
      <c r="C84" s="63"/>
      <c r="D84" s="63"/>
      <c r="E84" s="63" t="str">
        <f t="shared" si="2"/>
        <v/>
      </c>
    </row>
    <row r="85" spans="1:5" ht="18" customHeight="1">
      <c r="A85" s="17"/>
      <c r="B85" s="38"/>
      <c r="C85" s="65"/>
      <c r="D85" s="65"/>
      <c r="E85" s="65" t="str">
        <f t="shared" si="2"/>
        <v/>
      </c>
    </row>
    <row r="86" spans="1:5" ht="18" customHeight="1">
      <c r="A86" s="16"/>
      <c r="B86" s="33"/>
      <c r="C86" s="63"/>
      <c r="D86" s="63"/>
      <c r="E86" s="63" t="str">
        <f t="shared" si="2"/>
        <v/>
      </c>
    </row>
    <row r="87" spans="1:5" ht="18" customHeight="1">
      <c r="A87" s="17"/>
      <c r="B87" s="38"/>
      <c r="C87" s="65"/>
      <c r="D87" s="65"/>
      <c r="E87" s="65" t="str">
        <f t="shared" si="2"/>
        <v/>
      </c>
    </row>
    <row r="88" spans="1:5" ht="18" customHeight="1">
      <c r="A88" s="16"/>
      <c r="B88" s="33"/>
      <c r="C88" s="63"/>
      <c r="D88" s="63"/>
      <c r="E88" s="63" t="str">
        <f t="shared" si="2"/>
        <v/>
      </c>
    </row>
    <row r="89" spans="1:5" ht="18" customHeight="1">
      <c r="A89" s="17"/>
      <c r="B89" s="38"/>
      <c r="C89" s="65"/>
      <c r="D89" s="65"/>
      <c r="E89" s="65" t="str">
        <f t="shared" si="2"/>
        <v/>
      </c>
    </row>
    <row r="90" spans="1:5" ht="18" customHeight="1">
      <c r="A90" s="16"/>
      <c r="B90" s="33"/>
      <c r="C90" s="63"/>
      <c r="D90" s="63"/>
      <c r="E90" s="63" t="str">
        <f t="shared" si="2"/>
        <v/>
      </c>
    </row>
    <row r="91" spans="1:5" ht="18" customHeight="1">
      <c r="A91" s="17"/>
      <c r="B91" s="38"/>
      <c r="C91" s="65"/>
      <c r="D91" s="65"/>
      <c r="E91" s="65" t="str">
        <f t="shared" si="2"/>
        <v/>
      </c>
    </row>
    <row r="92" spans="1:5" ht="18" customHeight="1">
      <c r="A92" s="16"/>
      <c r="B92" s="33"/>
      <c r="C92" s="63"/>
      <c r="D92" s="63"/>
      <c r="E92" s="63" t="str">
        <f t="shared" si="2"/>
        <v/>
      </c>
    </row>
    <row r="93" spans="1:5" ht="18" customHeight="1">
      <c r="A93" s="17"/>
      <c r="B93" s="38"/>
      <c r="C93" s="65"/>
      <c r="D93" s="65"/>
      <c r="E93" s="65" t="str">
        <f t="shared" si="2"/>
        <v/>
      </c>
    </row>
    <row r="94" spans="1:5" ht="18" customHeight="1">
      <c r="A94" s="16"/>
      <c r="B94" s="33"/>
      <c r="C94" s="63"/>
      <c r="D94" s="63"/>
      <c r="E94" s="63" t="str">
        <f t="shared" si="2"/>
        <v/>
      </c>
    </row>
    <row r="95" spans="1:5" ht="18" customHeight="1">
      <c r="A95" s="17"/>
      <c r="B95" s="38"/>
      <c r="C95" s="65"/>
      <c r="D95" s="65"/>
      <c r="E95" s="65" t="str">
        <f t="shared" si="2"/>
        <v/>
      </c>
    </row>
    <row r="96" spans="1:5" ht="18" customHeight="1">
      <c r="A96" s="16"/>
      <c r="B96" s="33"/>
      <c r="C96" s="63"/>
      <c r="D96" s="63"/>
      <c r="E96" s="63" t="str">
        <f t="shared" si="2"/>
        <v/>
      </c>
    </row>
    <row r="97" spans="1:5" ht="18" customHeight="1">
      <c r="A97" s="17"/>
      <c r="B97" s="38"/>
      <c r="C97" s="65"/>
      <c r="D97" s="65"/>
      <c r="E97" s="65" t="str">
        <f t="shared" si="2"/>
        <v/>
      </c>
    </row>
    <row r="98" spans="1:5" ht="18" customHeight="1">
      <c r="A98" s="16"/>
      <c r="B98" s="33"/>
      <c r="C98" s="63"/>
      <c r="D98" s="63"/>
      <c r="E98" s="63" t="str">
        <f t="shared" ref="E98:E129" si="3">IF(D98&lt;&gt;"",D98-C98,"")</f>
        <v/>
      </c>
    </row>
    <row r="99" spans="1:5" ht="18" customHeight="1">
      <c r="A99" s="17"/>
      <c r="B99" s="38"/>
      <c r="C99" s="65"/>
      <c r="D99" s="65"/>
      <c r="E99" s="65" t="str">
        <f t="shared" si="3"/>
        <v/>
      </c>
    </row>
    <row r="100" spans="1:5" ht="18" customHeight="1">
      <c r="A100" s="16"/>
      <c r="B100" s="33"/>
      <c r="C100" s="63"/>
      <c r="D100" s="63"/>
      <c r="E100" s="63" t="str">
        <f t="shared" si="3"/>
        <v/>
      </c>
    </row>
    <row r="101" spans="1:5" ht="18" customHeight="1">
      <c r="A101" s="17"/>
      <c r="B101" s="38"/>
      <c r="C101" s="65"/>
      <c r="D101" s="65"/>
      <c r="E101" s="65" t="str">
        <f t="shared" si="3"/>
        <v/>
      </c>
    </row>
    <row r="102" spans="1:5" ht="18" customHeight="1">
      <c r="A102" s="16"/>
      <c r="B102" s="33"/>
      <c r="C102" s="63"/>
      <c r="D102" s="63"/>
      <c r="E102" s="63" t="str">
        <f t="shared" si="3"/>
        <v/>
      </c>
    </row>
    <row r="103" spans="1:5" ht="18" customHeight="1">
      <c r="A103" s="17"/>
      <c r="B103" s="38"/>
      <c r="C103" s="65"/>
      <c r="D103" s="65"/>
      <c r="E103" s="65" t="str">
        <f t="shared" si="3"/>
        <v/>
      </c>
    </row>
    <row r="104" spans="1:5" ht="18" customHeight="1">
      <c r="A104" s="16"/>
      <c r="B104" s="33"/>
      <c r="C104" s="63"/>
      <c r="D104" s="63"/>
      <c r="E104" s="63" t="str">
        <f t="shared" si="3"/>
        <v/>
      </c>
    </row>
    <row r="105" spans="1:5" ht="18" customHeight="1">
      <c r="A105" s="17"/>
      <c r="B105" s="38"/>
      <c r="C105" s="65"/>
      <c r="D105" s="65"/>
      <c r="E105" s="65" t="str">
        <f t="shared" si="3"/>
        <v/>
      </c>
    </row>
    <row r="106" spans="1:5" ht="18" customHeight="1">
      <c r="A106" s="16"/>
      <c r="B106" s="33"/>
      <c r="C106" s="63"/>
      <c r="D106" s="63"/>
      <c r="E106" s="63" t="str">
        <f t="shared" si="3"/>
        <v/>
      </c>
    </row>
    <row r="107" spans="1:5" ht="18" customHeight="1">
      <c r="A107" s="17"/>
      <c r="B107" s="38"/>
      <c r="C107" s="65"/>
      <c r="D107" s="65"/>
      <c r="E107" s="65" t="str">
        <f t="shared" si="3"/>
        <v/>
      </c>
    </row>
    <row r="108" spans="1:5" ht="18" customHeight="1">
      <c r="A108" s="16"/>
      <c r="B108" s="33"/>
      <c r="C108" s="63"/>
      <c r="D108" s="63"/>
      <c r="E108" s="63" t="str">
        <f t="shared" si="3"/>
        <v/>
      </c>
    </row>
    <row r="109" spans="1:5" ht="18" customHeight="1">
      <c r="A109" s="17"/>
      <c r="B109" s="38"/>
      <c r="C109" s="65"/>
      <c r="D109" s="65"/>
      <c r="E109" s="65" t="str">
        <f t="shared" si="3"/>
        <v/>
      </c>
    </row>
    <row r="110" spans="1:5" ht="18" customHeight="1">
      <c r="A110" s="16"/>
      <c r="B110" s="33"/>
      <c r="C110" s="63"/>
      <c r="D110" s="63"/>
      <c r="E110" s="63" t="str">
        <f t="shared" si="3"/>
        <v/>
      </c>
    </row>
    <row r="111" spans="1:5" ht="18" customHeight="1">
      <c r="A111" s="17"/>
      <c r="B111" s="38"/>
      <c r="C111" s="65"/>
      <c r="D111" s="65"/>
      <c r="E111" s="65" t="str">
        <f t="shared" si="3"/>
        <v/>
      </c>
    </row>
    <row r="112" spans="1:5" ht="18" customHeight="1">
      <c r="A112" s="16"/>
      <c r="B112" s="33"/>
      <c r="C112" s="63"/>
      <c r="D112" s="63"/>
      <c r="E112" s="63" t="str">
        <f t="shared" si="3"/>
        <v/>
      </c>
    </row>
    <row r="113" spans="1:5" ht="18" customHeight="1">
      <c r="A113" s="17"/>
      <c r="B113" s="38"/>
      <c r="C113" s="65"/>
      <c r="D113" s="65"/>
      <c r="E113" s="65" t="str">
        <f t="shared" si="3"/>
        <v/>
      </c>
    </row>
    <row r="114" spans="1:5" ht="18" customHeight="1">
      <c r="A114" s="16"/>
      <c r="B114" s="33"/>
      <c r="C114" s="63"/>
      <c r="D114" s="63"/>
      <c r="E114" s="63" t="str">
        <f t="shared" si="3"/>
        <v/>
      </c>
    </row>
    <row r="115" spans="1:5" ht="18" customHeight="1">
      <c r="A115" s="17"/>
      <c r="B115" s="38"/>
      <c r="C115" s="65"/>
      <c r="D115" s="65"/>
      <c r="E115" s="65" t="str">
        <f t="shared" si="3"/>
        <v/>
      </c>
    </row>
    <row r="116" spans="1:5" ht="18" customHeight="1">
      <c r="A116" s="16"/>
      <c r="B116" s="33"/>
      <c r="C116" s="63"/>
      <c r="D116" s="63"/>
      <c r="E116" s="63" t="str">
        <f t="shared" si="3"/>
        <v/>
      </c>
    </row>
    <row r="117" spans="1:5" ht="18" customHeight="1">
      <c r="A117" s="17"/>
      <c r="B117" s="38"/>
      <c r="C117" s="65"/>
      <c r="D117" s="65"/>
      <c r="E117" s="65" t="str">
        <f t="shared" si="3"/>
        <v/>
      </c>
    </row>
    <row r="118" spans="1:5" ht="18" customHeight="1">
      <c r="A118" s="16"/>
      <c r="B118" s="33"/>
      <c r="C118" s="63"/>
      <c r="D118" s="63"/>
      <c r="E118" s="63" t="str">
        <f t="shared" si="3"/>
        <v/>
      </c>
    </row>
    <row r="119" spans="1:5" ht="18" customHeight="1">
      <c r="A119" s="17"/>
      <c r="B119" s="38"/>
      <c r="C119" s="65"/>
      <c r="D119" s="65"/>
      <c r="E119" s="65" t="str">
        <f t="shared" si="3"/>
        <v/>
      </c>
    </row>
    <row r="120" spans="1:5" ht="18" customHeight="1">
      <c r="A120" s="16"/>
      <c r="B120" s="33"/>
      <c r="C120" s="63"/>
      <c r="D120" s="63"/>
      <c r="E120" s="63" t="str">
        <f t="shared" si="3"/>
        <v/>
      </c>
    </row>
    <row r="121" spans="1:5" ht="18" customHeight="1">
      <c r="A121" s="17"/>
      <c r="B121" s="38"/>
      <c r="C121" s="65"/>
      <c r="D121" s="65"/>
      <c r="E121" s="65" t="str">
        <f t="shared" si="3"/>
        <v/>
      </c>
    </row>
    <row r="122" spans="1:5" ht="18" customHeight="1">
      <c r="A122" s="16"/>
      <c r="B122" s="33"/>
      <c r="C122" s="63"/>
      <c r="D122" s="63"/>
      <c r="E122" s="63" t="str">
        <f t="shared" si="3"/>
        <v/>
      </c>
    </row>
    <row r="123" spans="1:5" ht="18" customHeight="1">
      <c r="A123" s="17"/>
      <c r="B123" s="38"/>
      <c r="C123" s="65"/>
      <c r="D123" s="65"/>
      <c r="E123" s="65" t="str">
        <f t="shared" si="3"/>
        <v/>
      </c>
    </row>
    <row r="124" spans="1:5" ht="18" customHeight="1">
      <c r="A124" s="16"/>
      <c r="B124" s="33"/>
      <c r="C124" s="63"/>
      <c r="D124" s="63"/>
      <c r="E124" s="63" t="str">
        <f t="shared" si="3"/>
        <v/>
      </c>
    </row>
    <row r="125" spans="1:5" ht="18" customHeight="1">
      <c r="A125" s="17"/>
      <c r="B125" s="38"/>
      <c r="C125" s="65"/>
      <c r="D125" s="65"/>
      <c r="E125" s="65" t="str">
        <f t="shared" si="3"/>
        <v/>
      </c>
    </row>
    <row r="126" spans="1:5" ht="18" customHeight="1">
      <c r="A126" s="16"/>
      <c r="B126" s="33"/>
      <c r="C126" s="63"/>
      <c r="D126" s="63"/>
      <c r="E126" s="63" t="str">
        <f t="shared" si="3"/>
        <v/>
      </c>
    </row>
    <row r="127" spans="1:5" ht="18" customHeight="1">
      <c r="A127" s="17"/>
      <c r="B127" s="38"/>
      <c r="C127" s="65"/>
      <c r="D127" s="65"/>
      <c r="E127" s="65" t="str">
        <f t="shared" si="3"/>
        <v/>
      </c>
    </row>
    <row r="128" spans="1:5" ht="18" customHeight="1">
      <c r="A128" s="16"/>
      <c r="B128" s="33"/>
      <c r="C128" s="63"/>
      <c r="D128" s="63"/>
      <c r="E128" s="63" t="str">
        <f t="shared" si="3"/>
        <v/>
      </c>
    </row>
    <row r="129" spans="1:5" ht="18" customHeight="1">
      <c r="A129" s="17"/>
      <c r="B129" s="38"/>
      <c r="C129" s="65"/>
      <c r="D129" s="65"/>
      <c r="E129" s="65" t="str">
        <f t="shared" si="3"/>
        <v/>
      </c>
    </row>
    <row r="130" spans="1:5" ht="18" customHeight="1">
      <c r="A130" s="16"/>
      <c r="B130" s="33"/>
      <c r="C130" s="63"/>
      <c r="D130" s="63"/>
      <c r="E130" s="63" t="str">
        <f t="shared" ref="E130:E161" si="4">IF(D130&lt;&gt;"",D130-C130,"")</f>
        <v/>
      </c>
    </row>
    <row r="131" spans="1:5" ht="18" customHeight="1">
      <c r="A131" s="17"/>
      <c r="B131" s="38"/>
      <c r="C131" s="65"/>
      <c r="D131" s="65"/>
      <c r="E131" s="65" t="str">
        <f t="shared" si="4"/>
        <v/>
      </c>
    </row>
    <row r="132" spans="1:5" ht="18" customHeight="1">
      <c r="A132" s="16"/>
      <c r="B132" s="33"/>
      <c r="C132" s="63"/>
      <c r="D132" s="63"/>
      <c r="E132" s="63" t="str">
        <f t="shared" si="4"/>
        <v/>
      </c>
    </row>
    <row r="133" spans="1:5" ht="18" customHeight="1">
      <c r="A133" s="17"/>
      <c r="B133" s="38"/>
      <c r="C133" s="65"/>
      <c r="D133" s="65"/>
      <c r="E133" s="65" t="str">
        <f t="shared" si="4"/>
        <v/>
      </c>
    </row>
    <row r="134" spans="1:5" ht="18" customHeight="1">
      <c r="A134" s="16"/>
      <c r="B134" s="33"/>
      <c r="C134" s="63"/>
      <c r="D134" s="63"/>
      <c r="E134" s="63" t="str">
        <f t="shared" si="4"/>
        <v/>
      </c>
    </row>
    <row r="135" spans="1:5" ht="18" customHeight="1">
      <c r="A135" s="17"/>
      <c r="B135" s="38"/>
      <c r="C135" s="65"/>
      <c r="D135" s="65"/>
      <c r="E135" s="65" t="str">
        <f t="shared" si="4"/>
        <v/>
      </c>
    </row>
    <row r="136" spans="1:5" ht="18" customHeight="1">
      <c r="A136" s="16"/>
      <c r="B136" s="33"/>
      <c r="C136" s="63"/>
      <c r="D136" s="63"/>
      <c r="E136" s="63" t="str">
        <f t="shared" si="4"/>
        <v/>
      </c>
    </row>
    <row r="137" spans="1:5" ht="18" customHeight="1">
      <c r="A137" s="17"/>
      <c r="B137" s="38"/>
      <c r="C137" s="65"/>
      <c r="D137" s="65"/>
      <c r="E137" s="65" t="str">
        <f t="shared" si="4"/>
        <v/>
      </c>
    </row>
    <row r="138" spans="1:5" ht="18" customHeight="1">
      <c r="A138" s="16"/>
      <c r="B138" s="33"/>
      <c r="C138" s="63"/>
      <c r="D138" s="63"/>
      <c r="E138" s="63" t="str">
        <f t="shared" si="4"/>
        <v/>
      </c>
    </row>
    <row r="139" spans="1:5" ht="18" customHeight="1">
      <c r="A139" s="17"/>
      <c r="B139" s="38"/>
      <c r="C139" s="65"/>
      <c r="D139" s="65"/>
      <c r="E139" s="65" t="str">
        <f t="shared" si="4"/>
        <v/>
      </c>
    </row>
    <row r="140" spans="1:5" ht="18" customHeight="1">
      <c r="A140" s="16"/>
      <c r="B140" s="33"/>
      <c r="C140" s="63"/>
      <c r="D140" s="63"/>
      <c r="E140" s="63" t="str">
        <f t="shared" si="4"/>
        <v/>
      </c>
    </row>
    <row r="141" spans="1:5" ht="18" customHeight="1">
      <c r="A141" s="17"/>
      <c r="B141" s="38"/>
      <c r="C141" s="65"/>
      <c r="D141" s="65"/>
      <c r="E141" s="65" t="str">
        <f t="shared" si="4"/>
        <v/>
      </c>
    </row>
    <row r="142" spans="1:5" ht="18" customHeight="1">
      <c r="A142" s="16"/>
      <c r="B142" s="33"/>
      <c r="C142" s="63"/>
      <c r="D142" s="63"/>
      <c r="E142" s="63" t="str">
        <f t="shared" si="4"/>
        <v/>
      </c>
    </row>
    <row r="143" spans="1:5" ht="18" customHeight="1">
      <c r="A143" s="17"/>
      <c r="B143" s="38"/>
      <c r="C143" s="65"/>
      <c r="D143" s="65"/>
      <c r="E143" s="65" t="str">
        <f t="shared" si="4"/>
        <v/>
      </c>
    </row>
    <row r="144" spans="1:5" ht="18" customHeight="1">
      <c r="A144" s="16"/>
      <c r="B144" s="33"/>
      <c r="C144" s="63"/>
      <c r="D144" s="63"/>
      <c r="E144" s="63" t="str">
        <f t="shared" si="4"/>
        <v/>
      </c>
    </row>
    <row r="145" spans="1:5" ht="18" customHeight="1">
      <c r="A145" s="17"/>
      <c r="B145" s="38"/>
      <c r="C145" s="65"/>
      <c r="D145" s="65"/>
      <c r="E145" s="65" t="str">
        <f t="shared" si="4"/>
        <v/>
      </c>
    </row>
    <row r="146" spans="1:5" ht="18" customHeight="1">
      <c r="A146" s="16"/>
      <c r="B146" s="33"/>
      <c r="C146" s="63"/>
      <c r="D146" s="63"/>
      <c r="E146" s="63" t="str">
        <f t="shared" si="4"/>
        <v/>
      </c>
    </row>
    <row r="147" spans="1:5" ht="18" customHeight="1">
      <c r="A147" s="17"/>
      <c r="B147" s="38"/>
      <c r="C147" s="65"/>
      <c r="D147" s="65"/>
      <c r="E147" s="65" t="str">
        <f t="shared" si="4"/>
        <v/>
      </c>
    </row>
    <row r="148" spans="1:5" ht="18" customHeight="1">
      <c r="A148" s="16"/>
      <c r="B148" s="33"/>
      <c r="C148" s="63"/>
      <c r="D148" s="63"/>
      <c r="E148" s="63" t="str">
        <f t="shared" si="4"/>
        <v/>
      </c>
    </row>
    <row r="149" spans="1:5" ht="18" customHeight="1">
      <c r="A149" s="17"/>
      <c r="B149" s="38"/>
      <c r="C149" s="65"/>
      <c r="D149" s="65"/>
      <c r="E149" s="65" t="str">
        <f t="shared" si="4"/>
        <v/>
      </c>
    </row>
    <row r="150" spans="1:5" ht="18" customHeight="1">
      <c r="A150" s="16"/>
      <c r="B150" s="33"/>
      <c r="C150" s="63"/>
      <c r="D150" s="63"/>
      <c r="E150" s="63" t="str">
        <f t="shared" si="4"/>
        <v/>
      </c>
    </row>
    <row r="151" spans="1:5" ht="18" customHeight="1">
      <c r="A151" s="17"/>
      <c r="B151" s="38"/>
      <c r="C151" s="65"/>
      <c r="D151" s="65"/>
      <c r="E151" s="65" t="str">
        <f t="shared" si="4"/>
        <v/>
      </c>
    </row>
    <row r="152" spans="1:5" ht="18" customHeight="1">
      <c r="A152" s="16"/>
      <c r="B152" s="33"/>
      <c r="C152" s="63"/>
      <c r="D152" s="63"/>
      <c r="E152" s="63" t="str">
        <f t="shared" si="4"/>
        <v/>
      </c>
    </row>
    <row r="153" spans="1:5" ht="18" customHeight="1">
      <c r="A153" s="17"/>
      <c r="B153" s="38"/>
      <c r="C153" s="65"/>
      <c r="D153" s="65"/>
      <c r="E153" s="65" t="str">
        <f t="shared" si="4"/>
        <v/>
      </c>
    </row>
    <row r="154" spans="1:5" ht="18" customHeight="1">
      <c r="A154" s="16"/>
      <c r="B154" s="33"/>
      <c r="C154" s="63"/>
      <c r="D154" s="63"/>
      <c r="E154" s="63" t="str">
        <f t="shared" si="4"/>
        <v/>
      </c>
    </row>
    <row r="155" spans="1:5" ht="18" customHeight="1">
      <c r="A155" s="17"/>
      <c r="B155" s="38"/>
      <c r="C155" s="65"/>
      <c r="D155" s="65"/>
      <c r="E155" s="65" t="str">
        <f t="shared" si="4"/>
        <v/>
      </c>
    </row>
    <row r="156" spans="1:5" ht="18" customHeight="1">
      <c r="A156" s="16"/>
      <c r="B156" s="33"/>
      <c r="C156" s="63"/>
      <c r="D156" s="63"/>
      <c r="E156" s="63" t="str">
        <f t="shared" si="4"/>
        <v/>
      </c>
    </row>
    <row r="157" spans="1:5" ht="18" customHeight="1">
      <c r="A157" s="17"/>
      <c r="B157" s="38"/>
      <c r="C157" s="65"/>
      <c r="D157" s="65"/>
      <c r="E157" s="65" t="str">
        <f t="shared" si="4"/>
        <v/>
      </c>
    </row>
    <row r="158" spans="1:5" ht="18" customHeight="1">
      <c r="A158" s="16"/>
      <c r="B158" s="33"/>
      <c r="C158" s="63"/>
      <c r="D158" s="63"/>
      <c r="E158" s="63" t="str">
        <f t="shared" si="4"/>
        <v/>
      </c>
    </row>
    <row r="159" spans="1:5" ht="18" customHeight="1">
      <c r="A159" s="17"/>
      <c r="B159" s="38"/>
      <c r="C159" s="65"/>
      <c r="D159" s="65"/>
      <c r="E159" s="65" t="str">
        <f t="shared" si="4"/>
        <v/>
      </c>
    </row>
    <row r="160" spans="1:5" ht="18" customHeight="1">
      <c r="A160" s="16"/>
      <c r="B160" s="33"/>
      <c r="C160" s="63"/>
      <c r="D160" s="63"/>
      <c r="E160" s="63" t="str">
        <f t="shared" si="4"/>
        <v/>
      </c>
    </row>
    <row r="161" spans="1:5" ht="18" customHeight="1">
      <c r="A161" s="17"/>
      <c r="B161" s="38"/>
      <c r="C161" s="65"/>
      <c r="D161" s="65"/>
      <c r="E161" s="65" t="str">
        <f t="shared" si="4"/>
        <v/>
      </c>
    </row>
    <row r="162" spans="1:5" ht="18" customHeight="1">
      <c r="A162" s="16"/>
      <c r="B162" s="33"/>
      <c r="C162" s="63"/>
      <c r="D162" s="63"/>
      <c r="E162" s="63" t="str">
        <f t="shared" ref="E162:E193" si="5">IF(D162&lt;&gt;"",D162-C162,"")</f>
        <v/>
      </c>
    </row>
    <row r="163" spans="1:5" ht="18" customHeight="1">
      <c r="A163" s="17"/>
      <c r="B163" s="38"/>
      <c r="C163" s="65"/>
      <c r="D163" s="65"/>
      <c r="E163" s="65" t="str">
        <f t="shared" si="5"/>
        <v/>
      </c>
    </row>
    <row r="164" spans="1:5" ht="18" customHeight="1">
      <c r="A164" s="16"/>
      <c r="B164" s="33"/>
      <c r="C164" s="63"/>
      <c r="D164" s="63"/>
      <c r="E164" s="63" t="str">
        <f t="shared" si="5"/>
        <v/>
      </c>
    </row>
    <row r="165" spans="1:5" ht="18" customHeight="1">
      <c r="A165" s="17"/>
      <c r="B165" s="38"/>
      <c r="C165" s="65"/>
      <c r="D165" s="65"/>
      <c r="E165" s="65" t="str">
        <f t="shared" si="5"/>
        <v/>
      </c>
    </row>
    <row r="166" spans="1:5" ht="18" customHeight="1">
      <c r="A166" s="16"/>
      <c r="B166" s="33"/>
      <c r="C166" s="63"/>
      <c r="D166" s="63"/>
      <c r="E166" s="63" t="str">
        <f t="shared" si="5"/>
        <v/>
      </c>
    </row>
    <row r="167" spans="1:5" ht="18" customHeight="1">
      <c r="A167" s="17"/>
      <c r="B167" s="38"/>
      <c r="C167" s="65"/>
      <c r="D167" s="65"/>
      <c r="E167" s="65" t="str">
        <f t="shared" si="5"/>
        <v/>
      </c>
    </row>
    <row r="168" spans="1:5" ht="18" customHeight="1">
      <c r="A168" s="16"/>
      <c r="B168" s="33"/>
      <c r="C168" s="63"/>
      <c r="D168" s="63"/>
      <c r="E168" s="63" t="str">
        <f t="shared" si="5"/>
        <v/>
      </c>
    </row>
    <row r="169" spans="1:5" ht="18" customHeight="1">
      <c r="A169" s="17"/>
      <c r="B169" s="38"/>
      <c r="C169" s="65"/>
      <c r="D169" s="65"/>
      <c r="E169" s="65" t="str">
        <f t="shared" si="5"/>
        <v/>
      </c>
    </row>
    <row r="170" spans="1:5" ht="18" customHeight="1">
      <c r="A170" s="16"/>
      <c r="B170" s="33"/>
      <c r="C170" s="63"/>
      <c r="D170" s="63"/>
      <c r="E170" s="63" t="str">
        <f t="shared" si="5"/>
        <v/>
      </c>
    </row>
    <row r="171" spans="1:5" ht="18" customHeight="1">
      <c r="A171" s="17"/>
      <c r="B171" s="38"/>
      <c r="C171" s="65"/>
      <c r="D171" s="65"/>
      <c r="E171" s="65" t="str">
        <f t="shared" si="5"/>
        <v/>
      </c>
    </row>
    <row r="172" spans="1:5" ht="18" customHeight="1">
      <c r="A172" s="16"/>
      <c r="B172" s="33"/>
      <c r="C172" s="63"/>
      <c r="D172" s="63"/>
      <c r="E172" s="63" t="str">
        <f t="shared" si="5"/>
        <v/>
      </c>
    </row>
    <row r="173" spans="1:5" ht="18" customHeight="1">
      <c r="A173" s="17"/>
      <c r="B173" s="38"/>
      <c r="C173" s="65"/>
      <c r="D173" s="65"/>
      <c r="E173" s="65" t="str">
        <f t="shared" si="5"/>
        <v/>
      </c>
    </row>
    <row r="174" spans="1:5" ht="18" customHeight="1">
      <c r="A174" s="16"/>
      <c r="B174" s="33"/>
      <c r="C174" s="63"/>
      <c r="D174" s="63"/>
      <c r="E174" s="63" t="str">
        <f t="shared" si="5"/>
        <v/>
      </c>
    </row>
    <row r="175" spans="1:5" ht="18" customHeight="1">
      <c r="A175" s="17"/>
      <c r="B175" s="38"/>
      <c r="C175" s="65"/>
      <c r="D175" s="65"/>
      <c r="E175" s="65" t="str">
        <f t="shared" si="5"/>
        <v/>
      </c>
    </row>
    <row r="176" spans="1:5" ht="18" customHeight="1">
      <c r="A176" s="16"/>
      <c r="B176" s="33"/>
      <c r="C176" s="63"/>
      <c r="D176" s="63"/>
      <c r="E176" s="63" t="str">
        <f t="shared" si="5"/>
        <v/>
      </c>
    </row>
    <row r="177" spans="1:5" ht="18" customHeight="1">
      <c r="A177" s="17"/>
      <c r="B177" s="38"/>
      <c r="C177" s="65"/>
      <c r="D177" s="65"/>
      <c r="E177" s="65" t="str">
        <f t="shared" si="5"/>
        <v/>
      </c>
    </row>
    <row r="178" spans="1:5" ht="18" customHeight="1">
      <c r="A178" s="16"/>
      <c r="B178" s="33"/>
      <c r="C178" s="63"/>
      <c r="D178" s="63"/>
      <c r="E178" s="63" t="str">
        <f t="shared" si="5"/>
        <v/>
      </c>
    </row>
    <row r="179" spans="1:5" ht="18" customHeight="1">
      <c r="A179" s="17"/>
      <c r="B179" s="38"/>
      <c r="C179" s="65"/>
      <c r="D179" s="65"/>
      <c r="E179" s="65" t="str">
        <f t="shared" si="5"/>
        <v/>
      </c>
    </row>
    <row r="180" spans="1:5" ht="18" customHeight="1">
      <c r="A180" s="16"/>
      <c r="B180" s="33"/>
      <c r="C180" s="63"/>
      <c r="D180" s="63"/>
      <c r="E180" s="63" t="str">
        <f t="shared" si="5"/>
        <v/>
      </c>
    </row>
    <row r="181" spans="1:5" ht="18" customHeight="1">
      <c r="A181" s="17"/>
      <c r="B181" s="38"/>
      <c r="C181" s="65"/>
      <c r="D181" s="65"/>
      <c r="E181" s="65" t="str">
        <f t="shared" si="5"/>
        <v/>
      </c>
    </row>
    <row r="182" spans="1:5" ht="18" customHeight="1">
      <c r="A182" s="16"/>
      <c r="B182" s="33"/>
      <c r="C182" s="63"/>
      <c r="D182" s="63"/>
      <c r="E182" s="63" t="str">
        <f t="shared" si="5"/>
        <v/>
      </c>
    </row>
    <row r="183" spans="1:5" ht="18" customHeight="1">
      <c r="A183" s="17"/>
      <c r="B183" s="38"/>
      <c r="C183" s="65"/>
      <c r="D183" s="65"/>
      <c r="E183" s="65" t="str">
        <f t="shared" si="5"/>
        <v/>
      </c>
    </row>
    <row r="184" spans="1:5" ht="18" customHeight="1">
      <c r="A184" s="16"/>
      <c r="B184" s="33"/>
      <c r="C184" s="63"/>
      <c r="D184" s="63"/>
      <c r="E184" s="63" t="str">
        <f t="shared" si="5"/>
        <v/>
      </c>
    </row>
    <row r="185" spans="1:5" ht="18" customHeight="1">
      <c r="A185" s="17"/>
      <c r="B185" s="38"/>
      <c r="C185" s="65"/>
      <c r="D185" s="65"/>
      <c r="E185" s="65" t="str">
        <f t="shared" si="5"/>
        <v/>
      </c>
    </row>
    <row r="186" spans="1:5" ht="18" customHeight="1">
      <c r="A186" s="16"/>
      <c r="B186" s="33"/>
      <c r="C186" s="63"/>
      <c r="D186" s="63"/>
      <c r="E186" s="63" t="str">
        <f t="shared" si="5"/>
        <v/>
      </c>
    </row>
    <row r="187" spans="1:5" ht="18" customHeight="1">
      <c r="A187" s="17"/>
      <c r="B187" s="38"/>
      <c r="C187" s="65"/>
      <c r="D187" s="65"/>
      <c r="E187" s="65" t="str">
        <f t="shared" si="5"/>
        <v/>
      </c>
    </row>
    <row r="188" spans="1:5" ht="18" customHeight="1">
      <c r="A188" s="16"/>
      <c r="B188" s="33"/>
      <c r="C188" s="63"/>
      <c r="D188" s="63"/>
      <c r="E188" s="63" t="str">
        <f t="shared" si="5"/>
        <v/>
      </c>
    </row>
    <row r="189" spans="1:5" ht="18" customHeight="1">
      <c r="A189" s="17"/>
      <c r="B189" s="38"/>
      <c r="C189" s="65"/>
      <c r="D189" s="65"/>
      <c r="E189" s="65" t="str">
        <f t="shared" si="5"/>
        <v/>
      </c>
    </row>
    <row r="190" spans="1:5" ht="18" customHeight="1">
      <c r="A190" s="16"/>
      <c r="B190" s="33"/>
      <c r="C190" s="63"/>
      <c r="D190" s="63"/>
      <c r="E190" s="63" t="str">
        <f t="shared" si="5"/>
        <v/>
      </c>
    </row>
    <row r="191" spans="1:5" ht="18" customHeight="1">
      <c r="A191" s="17"/>
      <c r="B191" s="38"/>
      <c r="C191" s="65"/>
      <c r="D191" s="65"/>
      <c r="E191" s="65" t="str">
        <f t="shared" si="5"/>
        <v/>
      </c>
    </row>
    <row r="192" spans="1:5" ht="18" customHeight="1">
      <c r="A192" s="16"/>
      <c r="B192" s="33"/>
      <c r="C192" s="63"/>
      <c r="D192" s="63"/>
      <c r="E192" s="63" t="str">
        <f t="shared" si="5"/>
        <v/>
      </c>
    </row>
    <row r="193" spans="1:5" ht="18" customHeight="1">
      <c r="A193" s="17"/>
      <c r="B193" s="38"/>
      <c r="C193" s="65"/>
      <c r="D193" s="65"/>
      <c r="E193" s="65" t="str">
        <f t="shared" si="5"/>
        <v/>
      </c>
    </row>
    <row r="194" spans="1:5" ht="18" customHeight="1">
      <c r="A194" s="16"/>
      <c r="B194" s="33"/>
      <c r="C194" s="63"/>
      <c r="D194" s="63"/>
      <c r="E194" s="63" t="str">
        <f t="shared" ref="E194:E201" si="6">IF(D194&lt;&gt;"",D194-C194,"")</f>
        <v/>
      </c>
    </row>
    <row r="195" spans="1:5" ht="18" customHeight="1">
      <c r="A195" s="17"/>
      <c r="B195" s="38"/>
      <c r="C195" s="65"/>
      <c r="D195" s="65"/>
      <c r="E195" s="65" t="str">
        <f t="shared" si="6"/>
        <v/>
      </c>
    </row>
    <row r="196" spans="1:5" ht="18" customHeight="1">
      <c r="A196" s="16"/>
      <c r="B196" s="33"/>
      <c r="C196" s="63"/>
      <c r="D196" s="63"/>
      <c r="E196" s="63" t="str">
        <f t="shared" si="6"/>
        <v/>
      </c>
    </row>
    <row r="197" spans="1:5" ht="18" customHeight="1">
      <c r="A197" s="17"/>
      <c r="B197" s="38"/>
      <c r="C197" s="65"/>
      <c r="D197" s="65"/>
      <c r="E197" s="65" t="str">
        <f t="shared" si="6"/>
        <v/>
      </c>
    </row>
    <row r="198" spans="1:5" ht="18" customHeight="1">
      <c r="A198" s="16"/>
      <c r="B198" s="33"/>
      <c r="C198" s="63"/>
      <c r="D198" s="63"/>
      <c r="E198" s="63" t="str">
        <f t="shared" si="6"/>
        <v/>
      </c>
    </row>
    <row r="199" spans="1:5" ht="18" customHeight="1">
      <c r="A199" s="17"/>
      <c r="B199" s="38"/>
      <c r="C199" s="65"/>
      <c r="D199" s="65"/>
      <c r="E199" s="65" t="str">
        <f t="shared" si="6"/>
        <v/>
      </c>
    </row>
    <row r="200" spans="1:5" ht="18" customHeight="1">
      <c r="A200" s="16"/>
      <c r="B200" s="33"/>
      <c r="C200" s="63"/>
      <c r="D200" s="63"/>
      <c r="E200" s="63" t="str">
        <f t="shared" si="6"/>
        <v/>
      </c>
    </row>
    <row r="201" spans="1:5" ht="18" customHeight="1">
      <c r="A201" s="17"/>
      <c r="B201" s="38"/>
      <c r="C201" s="65"/>
      <c r="D201" s="65"/>
      <c r="E201" s="65" t="str">
        <f t="shared" si="6"/>
        <v/>
      </c>
    </row>
    <row r="202" spans="1:5" ht="21.75" customHeight="1">
      <c r="A202" s="68" t="s">
        <v>50</v>
      </c>
      <c r="B202" s="68"/>
      <c r="C202" s="6">
        <f>SUM(C3:C201)</f>
        <v>6281.9</v>
      </c>
      <c r="D202" s="6">
        <f>SUM(D3:D201)</f>
        <v>12938.73</v>
      </c>
      <c r="E202" s="6">
        <f>SUM(E3:E201)</f>
        <v>6656.83</v>
      </c>
    </row>
  </sheetData>
  <mergeCells count="3">
    <mergeCell ref="A1:E1"/>
    <mergeCell ref="A202:B202"/>
    <mergeCell ref="D15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0"/>
  <sheetViews>
    <sheetView showGridLines="0" zoomScaleNormal="100" workbookViewId="0">
      <selection activeCell="F16" sqref="F16"/>
    </sheetView>
  </sheetViews>
  <sheetFormatPr defaultColWidth="8.7109375" defaultRowHeight="15"/>
  <cols>
    <col min="1" max="1" width="14" customWidth="1"/>
    <col min="2" max="3" width="16" customWidth="1"/>
    <col min="4" max="4" width="14" customWidth="1"/>
    <col min="6" max="6" width="24" customWidth="1"/>
    <col min="7" max="7" width="14" customWidth="1"/>
    <col min="8" max="9" width="16" customWidth="1"/>
    <col min="10" max="10" width="14" customWidth="1"/>
    <col min="13" max="13" width="9.140625" bestFit="1" customWidth="1"/>
  </cols>
  <sheetData>
    <row r="1" spans="1:13" ht="34.5" customHeight="1">
      <c r="A1" s="67" t="s">
        <v>132</v>
      </c>
      <c r="B1" s="67"/>
      <c r="C1" s="67"/>
      <c r="D1" s="67"/>
      <c r="E1" s="67"/>
      <c r="F1" s="67"/>
      <c r="G1" s="67"/>
      <c r="H1" s="67"/>
      <c r="I1" s="67"/>
      <c r="J1" s="67"/>
    </row>
    <row r="2" spans="1:13" ht="19.5" customHeight="1">
      <c r="A2" s="69" t="s">
        <v>133</v>
      </c>
      <c r="B2" s="69"/>
      <c r="C2" s="69"/>
      <c r="D2" s="69"/>
      <c r="F2" s="5" t="s">
        <v>134</v>
      </c>
      <c r="G2" s="64" t="s">
        <v>135</v>
      </c>
      <c r="H2" s="64" t="s">
        <v>26</v>
      </c>
      <c r="I2" s="64" t="s">
        <v>113</v>
      </c>
      <c r="J2" s="64" t="s">
        <v>114</v>
      </c>
    </row>
    <row r="3" spans="1:13" ht="19.5" customHeight="1">
      <c r="A3" s="64" t="s">
        <v>136</v>
      </c>
      <c r="B3" s="64" t="s">
        <v>26</v>
      </c>
      <c r="C3" s="64" t="s">
        <v>113</v>
      </c>
      <c r="D3" s="64" t="s">
        <v>114</v>
      </c>
      <c r="F3" s="64" t="s">
        <v>137</v>
      </c>
      <c r="G3" s="64" t="s">
        <v>135</v>
      </c>
      <c r="H3" s="64" t="s">
        <v>138</v>
      </c>
      <c r="I3" s="64" t="s">
        <v>113</v>
      </c>
      <c r="J3" s="64" t="s">
        <v>114</v>
      </c>
    </row>
    <row r="4" spans="1:13" ht="18" customHeight="1">
      <c r="A4" s="1" t="s">
        <v>139</v>
      </c>
      <c r="B4" s="65">
        <f ca="1">SUMPRODUCT((MONTH('All-Time Sold'!B3:B999)=1)*(YEAR('All-Time Sold'!B3:B999)=YEAR(TODAY()))*'All-Time Sold'!C3:C999)</f>
        <v>0</v>
      </c>
      <c r="C4" s="65">
        <f ca="1">SUMPRODUCT((MONTH('All-Time Sold'!B3:B999)=1)*(YEAR('All-Time Sold'!B3:B999)=YEAR(TODAY()))*'All-Time Sold'!D3:D999)</f>
        <v>0</v>
      </c>
      <c r="D4" s="62">
        <f t="shared" ref="D4:D15" ca="1" si="0">C4-B4</f>
        <v>0</v>
      </c>
      <c r="E4" s="21"/>
      <c r="F4" s="17" t="s">
        <v>140</v>
      </c>
      <c r="G4" s="38">
        <v>46173</v>
      </c>
      <c r="H4" s="65">
        <v>90</v>
      </c>
      <c r="I4" s="65">
        <v>52340</v>
      </c>
      <c r="J4" s="65">
        <v>39000</v>
      </c>
    </row>
    <row r="5" spans="1:13" ht="18" customHeight="1">
      <c r="A5" s="4" t="s">
        <v>141</v>
      </c>
      <c r="B5" s="63">
        <f ca="1">SUMPRODUCT((MONTH('All-Time Sold'!B3:B999)=2)*(YEAR('All-Time Sold'!B3:B999)=YEAR(TODAY()))*'All-Time Sold'!C3:C999)</f>
        <v>0</v>
      </c>
      <c r="C5" s="63">
        <f ca="1">SUMPRODUCT((MONTH('All-Time Sold'!B3:B999)=2)*(YEAR('All-Time Sold'!B3:B999)=YEAR(TODAY()))*'All-Time Sold'!D3:D999)</f>
        <v>0</v>
      </c>
      <c r="D5" s="61">
        <f t="shared" ca="1" si="0"/>
        <v>0</v>
      </c>
      <c r="E5" s="21"/>
      <c r="F5" s="16" t="s">
        <v>142</v>
      </c>
      <c r="G5" s="33">
        <v>46179</v>
      </c>
      <c r="H5" s="63">
        <v>150</v>
      </c>
      <c r="I5" s="63">
        <v>3417</v>
      </c>
      <c r="J5" s="63">
        <v>1375</v>
      </c>
    </row>
    <row r="6" spans="1:13" ht="18" customHeight="1">
      <c r="A6" s="1" t="s">
        <v>143</v>
      </c>
      <c r="B6" s="65">
        <f ca="1">SUMPRODUCT((MONTH('All-Time Sold'!B3:B999)=3)*(YEAR('All-Time Sold'!B3:B999)=YEAR(TODAY()))*'All-Time Sold'!C3:C999)</f>
        <v>0</v>
      </c>
      <c r="C6" s="65">
        <f ca="1">SUMPRODUCT((MONTH('All-Time Sold'!B3:B999)=3)*(YEAR('All-Time Sold'!B3:B999)=YEAR(TODAY()))*'All-Time Sold'!D3:D999)</f>
        <v>0</v>
      </c>
      <c r="D6" s="62">
        <f t="shared" ca="1" si="0"/>
        <v>0</v>
      </c>
      <c r="E6" s="22"/>
      <c r="F6" s="17" t="s">
        <v>144</v>
      </c>
      <c r="G6" s="38">
        <v>46180</v>
      </c>
      <c r="H6" s="65">
        <v>0</v>
      </c>
      <c r="I6" s="65">
        <v>8905</v>
      </c>
      <c r="J6" s="65">
        <f>I6-M7</f>
        <v>5210</v>
      </c>
    </row>
    <row r="7" spans="1:13" ht="18" customHeight="1">
      <c r="A7" s="4" t="s">
        <v>145</v>
      </c>
      <c r="B7" s="63">
        <f ca="1">SUMPRODUCT((MONTH('All-Time Sold'!B3:B999)=4)*(YEAR('All-Time Sold'!B3:B999)=YEAR(TODAY()))*'All-Time Sold'!C3:C999)</f>
        <v>0</v>
      </c>
      <c r="C7" s="63">
        <f ca="1">SUMPRODUCT((MONTH('All-Time Sold'!B3:B999)=4)*(YEAR('All-Time Sold'!B3:B999)=YEAR(TODAY()))*'All-Time Sold'!D3:D999)</f>
        <v>0</v>
      </c>
      <c r="D7" s="61">
        <f t="shared" ca="1" si="0"/>
        <v>0</v>
      </c>
      <c r="F7" s="16" t="s">
        <v>146</v>
      </c>
      <c r="G7" s="33">
        <v>46194</v>
      </c>
      <c r="H7" s="63">
        <v>125</v>
      </c>
      <c r="I7" s="63"/>
      <c r="J7" s="63" t="str">
        <f t="shared" ref="J7:J35" si="1">IF(I7&lt;&gt;"",I7-H7,"")</f>
        <v/>
      </c>
      <c r="M7" s="65">
        <v>3695</v>
      </c>
    </row>
    <row r="8" spans="1:13" ht="18" customHeight="1">
      <c r="A8" s="1" t="s">
        <v>147</v>
      </c>
      <c r="B8" s="65">
        <f>C8-J4</f>
        <v>13340</v>
      </c>
      <c r="C8" s="65">
        <v>52340</v>
      </c>
      <c r="D8" s="62">
        <f t="shared" si="0"/>
        <v>39000</v>
      </c>
      <c r="F8" s="17" t="s">
        <v>148</v>
      </c>
      <c r="G8" s="38">
        <v>46201</v>
      </c>
      <c r="H8" s="65">
        <v>150</v>
      </c>
      <c r="I8" s="65"/>
      <c r="J8" s="65" t="str">
        <f t="shared" si="1"/>
        <v/>
      </c>
    </row>
    <row r="9" spans="1:13" ht="18" customHeight="1">
      <c r="A9" s="4" t="s">
        <v>149</v>
      </c>
      <c r="B9" s="65" cm="1">
        <f t="array" aca="1" ref="B9" ca="1">SUMPRODUCT((MONTH('All-Time Sold'!B3:B999)=6)*(YEAR('All-Time Sold'!B3:B999)=YEAR(TODAY()))*'All-Time Sold'!C3:C999)</f>
        <v>6281.9</v>
      </c>
      <c r="C9" s="65" cm="1">
        <f t="array" aca="1" ref="C9" ca="1">SUMPRODUCT((MONTH('All-Time Sold'!B3:B999)=6)*(YEAR('All-Time Sold'!B3:B999)=YEAR(TODAY()))*'All-Time Sold'!D3:D999)</f>
        <v>12938.73</v>
      </c>
      <c r="D9" s="61">
        <f t="shared" ca="1" si="0"/>
        <v>6656.83</v>
      </c>
      <c r="F9" s="16"/>
      <c r="G9" s="33"/>
      <c r="H9" s="63"/>
      <c r="I9" s="63"/>
      <c r="J9" s="63" t="str">
        <f t="shared" si="1"/>
        <v/>
      </c>
    </row>
    <row r="10" spans="1:13" ht="18" customHeight="1">
      <c r="A10" s="1" t="s">
        <v>150</v>
      </c>
      <c r="B10" s="65">
        <f ca="1">SUMPRODUCT((MONTH('All-Time Sold'!B3:B999)=7)*(YEAR('All-Time Sold'!B3:B999)=YEAR(TODAY()))*'All-Time Sold'!C3:C999)</f>
        <v>0</v>
      </c>
      <c r="C10" s="65">
        <f ca="1">SUMPRODUCT((MONTH('All-Time Sold'!B3:B999)=7)*(YEAR('All-Time Sold'!B3:B999)=YEAR(TODAY()))*'All-Time Sold'!D3:D999)</f>
        <v>0</v>
      </c>
      <c r="D10" s="62">
        <f t="shared" ca="1" si="0"/>
        <v>0</v>
      </c>
      <c r="F10" s="17"/>
      <c r="G10" s="38"/>
      <c r="H10" s="65"/>
      <c r="I10" s="65"/>
      <c r="J10" s="65" t="str">
        <f t="shared" si="1"/>
        <v/>
      </c>
    </row>
    <row r="11" spans="1:13" ht="18" customHeight="1">
      <c r="A11" s="4" t="s">
        <v>151</v>
      </c>
      <c r="B11" s="63">
        <f ca="1">SUMPRODUCT((MONTH('All-Time Sold'!B3:B999)=8)*(YEAR('All-Time Sold'!B3:B999)=YEAR(TODAY()))*'All-Time Sold'!C3:C999)</f>
        <v>0</v>
      </c>
      <c r="C11" s="63">
        <f ca="1">SUMPRODUCT((MONTH('All-Time Sold'!B3:B999)=8)*(YEAR('All-Time Sold'!B3:B999)=YEAR(TODAY()))*'All-Time Sold'!D3:D999)</f>
        <v>0</v>
      </c>
      <c r="D11" s="61">
        <f t="shared" ca="1" si="0"/>
        <v>0</v>
      </c>
      <c r="F11" s="16"/>
      <c r="G11" s="33"/>
      <c r="H11" s="63"/>
      <c r="I11" s="63"/>
      <c r="J11" s="63" t="str">
        <f t="shared" si="1"/>
        <v/>
      </c>
    </row>
    <row r="12" spans="1:13" ht="18" customHeight="1">
      <c r="A12" s="1" t="s">
        <v>152</v>
      </c>
      <c r="B12" s="65">
        <f ca="1">SUMPRODUCT((MONTH('All-Time Sold'!B3:B999)=9)*(YEAR('All-Time Sold'!B3:B999)=YEAR(TODAY()))*'All-Time Sold'!C3:C999)</f>
        <v>0</v>
      </c>
      <c r="C12" s="65">
        <f ca="1">SUMPRODUCT((MONTH('All-Time Sold'!B3:B999)=9)*(YEAR('All-Time Sold'!B3:B999)=YEAR(TODAY()))*'All-Time Sold'!D3:D999)</f>
        <v>0</v>
      </c>
      <c r="D12" s="62">
        <f t="shared" ca="1" si="0"/>
        <v>0</v>
      </c>
      <c r="F12" s="17"/>
      <c r="G12" s="38"/>
      <c r="H12" s="65"/>
      <c r="I12" s="65"/>
      <c r="J12" s="65" t="str">
        <f t="shared" si="1"/>
        <v/>
      </c>
    </row>
    <row r="13" spans="1:13" ht="18" customHeight="1">
      <c r="A13" s="4" t="s">
        <v>153</v>
      </c>
      <c r="B13" s="63">
        <f ca="1">SUMPRODUCT((MONTH('All-Time Sold'!B3:B999)=10)*(YEAR('All-Time Sold'!B3:B999)=YEAR(TODAY()))*'All-Time Sold'!C3:C999)</f>
        <v>0</v>
      </c>
      <c r="C13" s="63">
        <f ca="1">SUMPRODUCT((MONTH('All-Time Sold'!B3:B999)=10)*(YEAR('All-Time Sold'!B3:B999)=YEAR(TODAY()))*'All-Time Sold'!D3:D999)</f>
        <v>0</v>
      </c>
      <c r="D13" s="61">
        <f t="shared" ca="1" si="0"/>
        <v>0</v>
      </c>
      <c r="F13" s="16"/>
      <c r="G13" s="33"/>
      <c r="H13" s="63"/>
      <c r="I13" s="63"/>
      <c r="J13" s="63" t="str">
        <f t="shared" si="1"/>
        <v/>
      </c>
    </row>
    <row r="14" spans="1:13" ht="18" customHeight="1">
      <c r="A14" s="1" t="s">
        <v>154</v>
      </c>
      <c r="B14" s="65">
        <f ca="1">SUMPRODUCT((MONTH('All-Time Sold'!B3:B999)=11)*(YEAR('All-Time Sold'!B3:B999)=YEAR(TODAY()))*'All-Time Sold'!C3:C999)</f>
        <v>0</v>
      </c>
      <c r="C14" s="65">
        <f ca="1">SUMPRODUCT((MONTH('All-Time Sold'!B3:B999)=11)*(YEAR('All-Time Sold'!B3:B999)=YEAR(TODAY()))*'All-Time Sold'!D3:D999)</f>
        <v>0</v>
      </c>
      <c r="D14" s="62">
        <f t="shared" ca="1" si="0"/>
        <v>0</v>
      </c>
      <c r="F14" s="17"/>
      <c r="G14" s="38"/>
      <c r="H14" s="65"/>
      <c r="I14" s="65"/>
      <c r="J14" s="65" t="str">
        <f t="shared" si="1"/>
        <v/>
      </c>
    </row>
    <row r="15" spans="1:13" ht="18" customHeight="1">
      <c r="A15" s="4" t="s">
        <v>155</v>
      </c>
      <c r="B15" s="63">
        <f ca="1">SUMPRODUCT((MONTH('All-Time Sold'!B3:B999)=12)*(YEAR('All-Time Sold'!B3:B999)=YEAR(TODAY()))*'All-Time Sold'!C3:C999)</f>
        <v>0</v>
      </c>
      <c r="C15" s="63">
        <f ca="1">SUMPRODUCT((MONTH('All-Time Sold'!B3:B999)=12)*(YEAR('All-Time Sold'!B3:B999)=YEAR(TODAY()))*'All-Time Sold'!D3:D999)</f>
        <v>0</v>
      </c>
      <c r="D15" s="61">
        <f t="shared" ca="1" si="0"/>
        <v>0</v>
      </c>
      <c r="F15" s="16"/>
      <c r="G15" s="33"/>
      <c r="H15" s="63"/>
      <c r="I15" s="63"/>
      <c r="J15" s="63" t="str">
        <f t="shared" si="1"/>
        <v/>
      </c>
    </row>
    <row r="16" spans="1:13" ht="18" customHeight="1">
      <c r="A16" s="66" t="s">
        <v>50</v>
      </c>
      <c r="B16" s="6">
        <f ca="1">SUM(B4:B15)</f>
        <v>19621.900000000001</v>
      </c>
      <c r="C16" s="6">
        <f ca="1">SUM(C4:C15)</f>
        <v>65278.729999999996</v>
      </c>
      <c r="D16" s="6">
        <f ca="1">SUM(D4:D15)</f>
        <v>45656.83</v>
      </c>
      <c r="F16" s="17"/>
      <c r="G16" s="38"/>
      <c r="H16" s="65"/>
      <c r="I16" s="65"/>
      <c r="J16" s="65" t="str">
        <f t="shared" si="1"/>
        <v/>
      </c>
    </row>
    <row r="17" spans="6:10" ht="18" customHeight="1">
      <c r="F17" s="16"/>
      <c r="G17" s="33"/>
      <c r="H17" s="63"/>
      <c r="I17" s="63"/>
      <c r="J17" s="63" t="str">
        <f t="shared" si="1"/>
        <v/>
      </c>
    </row>
    <row r="18" spans="6:10" ht="18" customHeight="1">
      <c r="F18" s="17"/>
      <c r="G18" s="38"/>
      <c r="H18" s="65"/>
      <c r="I18" s="65"/>
      <c r="J18" s="65" t="str">
        <f t="shared" si="1"/>
        <v/>
      </c>
    </row>
    <row r="19" spans="6:10" ht="18" customHeight="1">
      <c r="F19" s="16"/>
      <c r="G19" s="33"/>
      <c r="H19" s="63"/>
      <c r="I19" s="63"/>
      <c r="J19" s="63" t="str">
        <f t="shared" si="1"/>
        <v/>
      </c>
    </row>
    <row r="20" spans="6:10" ht="18" customHeight="1">
      <c r="F20" s="17"/>
      <c r="G20" s="38"/>
      <c r="H20" s="65"/>
      <c r="I20" s="65"/>
      <c r="J20" s="65" t="str">
        <f t="shared" si="1"/>
        <v/>
      </c>
    </row>
    <row r="21" spans="6:10" ht="18" customHeight="1">
      <c r="F21" s="16"/>
      <c r="G21" s="33"/>
      <c r="H21" s="63"/>
      <c r="I21" s="63"/>
      <c r="J21" s="63" t="str">
        <f t="shared" si="1"/>
        <v/>
      </c>
    </row>
    <row r="22" spans="6:10" ht="18" customHeight="1">
      <c r="F22" s="17"/>
      <c r="G22" s="38"/>
      <c r="H22" s="65"/>
      <c r="I22" s="65"/>
      <c r="J22" s="65" t="str">
        <f t="shared" si="1"/>
        <v/>
      </c>
    </row>
    <row r="23" spans="6:10" ht="18" customHeight="1">
      <c r="F23" s="16"/>
      <c r="G23" s="33"/>
      <c r="H23" s="63"/>
      <c r="I23" s="63"/>
      <c r="J23" s="63" t="str">
        <f t="shared" si="1"/>
        <v/>
      </c>
    </row>
    <row r="24" spans="6:10" ht="18" customHeight="1">
      <c r="F24" s="17"/>
      <c r="G24" s="38"/>
      <c r="H24" s="65"/>
      <c r="I24" s="65"/>
      <c r="J24" s="65" t="str">
        <f t="shared" si="1"/>
        <v/>
      </c>
    </row>
    <row r="25" spans="6:10" ht="18" customHeight="1">
      <c r="F25" s="16"/>
      <c r="G25" s="33"/>
      <c r="H25" s="63"/>
      <c r="I25" s="63"/>
      <c r="J25" s="63" t="str">
        <f t="shared" si="1"/>
        <v/>
      </c>
    </row>
    <row r="26" spans="6:10" ht="18" customHeight="1">
      <c r="F26" s="17"/>
      <c r="G26" s="38"/>
      <c r="H26" s="65"/>
      <c r="I26" s="65"/>
      <c r="J26" s="65" t="str">
        <f t="shared" si="1"/>
        <v/>
      </c>
    </row>
    <row r="27" spans="6:10" ht="18" customHeight="1">
      <c r="F27" s="16"/>
      <c r="G27" s="33"/>
      <c r="H27" s="63"/>
      <c r="I27" s="63"/>
      <c r="J27" s="63" t="str">
        <f t="shared" si="1"/>
        <v/>
      </c>
    </row>
    <row r="28" spans="6:10" ht="18" customHeight="1">
      <c r="F28" s="17"/>
      <c r="G28" s="38"/>
      <c r="H28" s="65"/>
      <c r="I28" s="65"/>
      <c r="J28" s="65" t="str">
        <f t="shared" si="1"/>
        <v/>
      </c>
    </row>
    <row r="29" spans="6:10" ht="18" customHeight="1">
      <c r="F29" s="16"/>
      <c r="G29" s="33"/>
      <c r="H29" s="63"/>
      <c r="I29" s="63"/>
      <c r="J29" s="63" t="str">
        <f t="shared" si="1"/>
        <v/>
      </c>
    </row>
    <row r="30" spans="6:10" ht="18" customHeight="1">
      <c r="F30" s="17"/>
      <c r="G30" s="38"/>
      <c r="H30" s="65"/>
      <c r="I30" s="65"/>
      <c r="J30" s="65" t="str">
        <f t="shared" si="1"/>
        <v/>
      </c>
    </row>
    <row r="31" spans="6:10" ht="18" customHeight="1">
      <c r="F31" s="16"/>
      <c r="G31" s="33"/>
      <c r="H31" s="63"/>
      <c r="I31" s="63"/>
      <c r="J31" s="63" t="str">
        <f t="shared" si="1"/>
        <v/>
      </c>
    </row>
    <row r="32" spans="6:10" ht="18" customHeight="1">
      <c r="F32" s="17"/>
      <c r="G32" s="38"/>
      <c r="H32" s="65"/>
      <c r="I32" s="65"/>
      <c r="J32" s="65" t="str">
        <f t="shared" si="1"/>
        <v/>
      </c>
    </row>
    <row r="33" spans="6:10" ht="18" customHeight="1">
      <c r="F33" s="16"/>
      <c r="G33" s="33"/>
      <c r="H33" s="63"/>
      <c r="I33" s="63"/>
      <c r="J33" s="63" t="str">
        <f t="shared" si="1"/>
        <v/>
      </c>
    </row>
    <row r="34" spans="6:10" ht="18" customHeight="1">
      <c r="F34" s="17"/>
      <c r="G34" s="38"/>
      <c r="H34" s="65"/>
      <c r="I34" s="65"/>
      <c r="J34" s="65" t="str">
        <f t="shared" si="1"/>
        <v/>
      </c>
    </row>
    <row r="35" spans="6:10" ht="18" customHeight="1">
      <c r="F35" s="16"/>
      <c r="G35" s="33"/>
      <c r="H35" s="63"/>
      <c r="I35" s="63"/>
      <c r="J35" s="63" t="str">
        <f t="shared" si="1"/>
        <v/>
      </c>
    </row>
    <row r="36" spans="6:10" ht="18" customHeight="1">
      <c r="F36" s="17"/>
      <c r="G36" s="38"/>
      <c r="H36" s="65"/>
      <c r="I36" s="65"/>
      <c r="J36" s="65" t="str">
        <f t="shared" ref="J36:J53" si="2">IF(I36&lt;&gt;"",I36-H36,"")</f>
        <v/>
      </c>
    </row>
    <row r="37" spans="6:10" ht="18" customHeight="1">
      <c r="F37" s="16"/>
      <c r="G37" s="33"/>
      <c r="H37" s="63"/>
      <c r="I37" s="63"/>
      <c r="J37" s="63" t="str">
        <f t="shared" si="2"/>
        <v/>
      </c>
    </row>
    <row r="38" spans="6:10" ht="18" customHeight="1">
      <c r="F38" s="17"/>
      <c r="G38" s="38"/>
      <c r="H38" s="65"/>
      <c r="I38" s="65"/>
      <c r="J38" s="65" t="str">
        <f t="shared" si="2"/>
        <v/>
      </c>
    </row>
    <row r="39" spans="6:10" ht="18" customHeight="1">
      <c r="F39" s="16"/>
      <c r="G39" s="33"/>
      <c r="H39" s="63"/>
      <c r="I39" s="63"/>
      <c r="J39" s="63" t="str">
        <f t="shared" si="2"/>
        <v/>
      </c>
    </row>
    <row r="40" spans="6:10" ht="18" customHeight="1">
      <c r="F40" s="17"/>
      <c r="G40" s="38"/>
      <c r="H40" s="65"/>
      <c r="I40" s="65"/>
      <c r="J40" s="65" t="str">
        <f t="shared" si="2"/>
        <v/>
      </c>
    </row>
    <row r="41" spans="6:10" ht="18" customHeight="1">
      <c r="F41" s="16"/>
      <c r="G41" s="33"/>
      <c r="H41" s="63"/>
      <c r="I41" s="63"/>
      <c r="J41" s="63" t="str">
        <f t="shared" si="2"/>
        <v/>
      </c>
    </row>
    <row r="42" spans="6:10" ht="18" customHeight="1">
      <c r="F42" s="17"/>
      <c r="G42" s="38"/>
      <c r="H42" s="65"/>
      <c r="I42" s="65"/>
      <c r="J42" s="65" t="str">
        <f t="shared" si="2"/>
        <v/>
      </c>
    </row>
    <row r="43" spans="6:10" ht="18" customHeight="1">
      <c r="F43" s="16"/>
      <c r="G43" s="33"/>
      <c r="H43" s="63"/>
      <c r="I43" s="63"/>
      <c r="J43" s="63" t="str">
        <f t="shared" si="2"/>
        <v/>
      </c>
    </row>
    <row r="44" spans="6:10" ht="18" customHeight="1">
      <c r="F44" s="17"/>
      <c r="G44" s="38"/>
      <c r="H44" s="65"/>
      <c r="I44" s="65"/>
      <c r="J44" s="65" t="str">
        <f t="shared" si="2"/>
        <v/>
      </c>
    </row>
    <row r="45" spans="6:10" ht="18" customHeight="1">
      <c r="F45" s="16"/>
      <c r="G45" s="33"/>
      <c r="H45" s="63"/>
      <c r="I45" s="63"/>
      <c r="J45" s="63" t="str">
        <f t="shared" si="2"/>
        <v/>
      </c>
    </row>
    <row r="46" spans="6:10" ht="18" customHeight="1">
      <c r="F46" s="17"/>
      <c r="G46" s="38"/>
      <c r="H46" s="65"/>
      <c r="I46" s="65"/>
      <c r="J46" s="65" t="str">
        <f t="shared" si="2"/>
        <v/>
      </c>
    </row>
    <row r="47" spans="6:10" ht="18" customHeight="1">
      <c r="F47" s="16"/>
      <c r="G47" s="33"/>
      <c r="H47" s="63"/>
      <c r="I47" s="63"/>
      <c r="J47" s="63" t="str">
        <f t="shared" si="2"/>
        <v/>
      </c>
    </row>
    <row r="48" spans="6:10" ht="18" customHeight="1">
      <c r="F48" s="17"/>
      <c r="G48" s="38"/>
      <c r="H48" s="65"/>
      <c r="I48" s="65"/>
      <c r="J48" s="65" t="str">
        <f t="shared" si="2"/>
        <v/>
      </c>
    </row>
    <row r="49" spans="1:10" ht="18" customHeight="1">
      <c r="F49" s="16"/>
      <c r="G49" s="33"/>
      <c r="H49" s="63"/>
      <c r="I49" s="63"/>
      <c r="J49" s="63" t="str">
        <f t="shared" si="2"/>
        <v/>
      </c>
    </row>
    <row r="50" spans="1:10" ht="18" customHeight="1">
      <c r="F50" s="17"/>
      <c r="G50" s="38"/>
      <c r="H50" s="65"/>
      <c r="I50" s="65"/>
      <c r="J50" s="65" t="str">
        <f t="shared" si="2"/>
        <v/>
      </c>
    </row>
    <row r="51" spans="1:10" ht="18" customHeight="1">
      <c r="F51" s="16"/>
      <c r="G51" s="33"/>
      <c r="H51" s="63"/>
      <c r="I51" s="63"/>
      <c r="J51" s="63" t="str">
        <f t="shared" si="2"/>
        <v/>
      </c>
    </row>
    <row r="52" spans="1:10" ht="18" customHeight="1">
      <c r="F52" s="17"/>
      <c r="G52" s="38"/>
      <c r="H52" s="65"/>
      <c r="I52" s="65"/>
      <c r="J52" s="65" t="str">
        <f t="shared" si="2"/>
        <v/>
      </c>
    </row>
    <row r="53" spans="1:10" ht="18" customHeight="1">
      <c r="F53" s="16"/>
      <c r="G53" s="33"/>
      <c r="H53" s="63"/>
      <c r="I53" s="63"/>
      <c r="J53" s="63" t="str">
        <f t="shared" si="2"/>
        <v/>
      </c>
    </row>
    <row r="54" spans="1:10" ht="21.75" customHeight="1">
      <c r="F54" s="68" t="s">
        <v>50</v>
      </c>
      <c r="G54" s="68"/>
      <c r="H54" s="6">
        <f>SUM(H4:H53)</f>
        <v>515</v>
      </c>
      <c r="I54" s="6">
        <f>SUM(I4:I53)</f>
        <v>64662</v>
      </c>
      <c r="J54" s="6">
        <f>SUM(J4:J53)</f>
        <v>45585</v>
      </c>
    </row>
    <row r="55" spans="1:10" ht="7.5" customHeight="1"/>
    <row r="56" spans="1:10" ht="21.75" customHeight="1">
      <c r="A56" s="69" t="s">
        <v>15</v>
      </c>
      <c r="B56" s="69"/>
      <c r="C56" s="69"/>
      <c r="D56" s="69"/>
    </row>
    <row r="57" spans="1:10" ht="19.5" customHeight="1">
      <c r="A57" s="64" t="s">
        <v>16</v>
      </c>
      <c r="B57" s="64" t="s">
        <v>17</v>
      </c>
      <c r="C57" s="64" t="s">
        <v>18</v>
      </c>
      <c r="D57" s="64" t="s">
        <v>156</v>
      </c>
    </row>
    <row r="58" spans="1:10" ht="18" customHeight="1">
      <c r="A58" s="1" t="s">
        <v>19</v>
      </c>
      <c r="B58" s="3">
        <v>0.8</v>
      </c>
      <c r="C58" s="62">
        <f ca="1">B58*D16</f>
        <v>36525.464</v>
      </c>
      <c r="D58" s="7">
        <v>0</v>
      </c>
    </row>
    <row r="59" spans="1:10" ht="18" customHeight="1">
      <c r="A59" s="4" t="s">
        <v>20</v>
      </c>
      <c r="B59" s="3">
        <v>0.1</v>
      </c>
      <c r="C59" s="61">
        <f ca="1">B59*D16</f>
        <v>4565.683</v>
      </c>
      <c r="D59" s="7">
        <v>0</v>
      </c>
    </row>
    <row r="60" spans="1:10" ht="18" customHeight="1">
      <c r="A60" s="1" t="s">
        <v>21</v>
      </c>
      <c r="B60" s="3">
        <v>0.1</v>
      </c>
      <c r="C60" s="62">
        <f ca="1">B60*D16</f>
        <v>4565.683</v>
      </c>
      <c r="D60" s="7">
        <v>0</v>
      </c>
    </row>
  </sheetData>
  <mergeCells count="4">
    <mergeCell ref="A1:J1"/>
    <mergeCell ref="A2:D2"/>
    <mergeCell ref="F54:G54"/>
    <mergeCell ref="A56:D5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1"/>
  <sheetViews>
    <sheetView showGridLines="0" zoomScaleNormal="100" workbookViewId="0">
      <selection activeCell="B30" sqref="B30"/>
    </sheetView>
  </sheetViews>
  <sheetFormatPr defaultColWidth="8.7109375" defaultRowHeight="15"/>
  <cols>
    <col min="1" max="1" width="14" customWidth="1"/>
    <col min="2" max="2" width="12" customWidth="1"/>
    <col min="3" max="3" width="10" customWidth="1"/>
    <col min="4" max="4" width="16" customWidth="1"/>
    <col min="5" max="5" width="18" customWidth="1"/>
    <col min="6" max="6" width="14" customWidth="1"/>
    <col min="7" max="7" width="8.7109375" style="32"/>
    <col min="8" max="8" width="13.85546875" style="32" bestFit="1" customWidth="1"/>
  </cols>
  <sheetData>
    <row r="1" spans="1:9" ht="34.5" customHeight="1">
      <c r="A1" s="67" t="s">
        <v>157</v>
      </c>
      <c r="B1" s="67"/>
      <c r="C1" s="67"/>
      <c r="D1" s="67"/>
      <c r="E1" s="67"/>
      <c r="F1" s="67"/>
      <c r="G1"/>
      <c r="H1"/>
    </row>
    <row r="2" spans="1:9" ht="19.5" customHeight="1">
      <c r="A2" s="69" t="s">
        <v>158</v>
      </c>
      <c r="B2" s="69"/>
      <c r="C2" s="69"/>
      <c r="D2" s="69"/>
      <c r="G2"/>
      <c r="H2"/>
    </row>
    <row r="3" spans="1:9" ht="19.5" customHeight="1">
      <c r="A3" s="64" t="s">
        <v>16</v>
      </c>
      <c r="B3" s="64" t="s">
        <v>159</v>
      </c>
      <c r="C3" s="64" t="s">
        <v>160</v>
      </c>
      <c r="D3" s="64" t="s">
        <v>161</v>
      </c>
      <c r="G3"/>
      <c r="H3"/>
    </row>
    <row r="4" spans="1:9" ht="18" customHeight="1">
      <c r="A4" s="8" t="s">
        <v>20</v>
      </c>
      <c r="B4" s="9">
        <v>30</v>
      </c>
      <c r="C4" s="15">
        <v>0</v>
      </c>
      <c r="D4" s="11" t="s">
        <v>162</v>
      </c>
      <c r="G4"/>
      <c r="H4"/>
    </row>
    <row r="5" spans="1:9" ht="18" customHeight="1">
      <c r="A5" s="12" t="s">
        <v>21</v>
      </c>
      <c r="B5" s="9">
        <v>40</v>
      </c>
      <c r="C5" s="46">
        <v>0</v>
      </c>
      <c r="D5" s="14" t="s">
        <v>162</v>
      </c>
      <c r="G5"/>
      <c r="H5"/>
    </row>
    <row r="6" spans="1:9" ht="18" customHeight="1">
      <c r="A6" s="8" t="s">
        <v>163</v>
      </c>
      <c r="B6" s="10" t="s">
        <v>164</v>
      </c>
      <c r="C6" s="15">
        <v>1</v>
      </c>
      <c r="D6" s="11" t="s">
        <v>165</v>
      </c>
      <c r="G6"/>
      <c r="H6"/>
    </row>
    <row r="7" spans="1:9" ht="18" customHeight="1">
      <c r="A7" s="12" t="s">
        <v>166</v>
      </c>
      <c r="B7" s="9">
        <v>40</v>
      </c>
      <c r="C7" s="13" t="s">
        <v>164</v>
      </c>
      <c r="D7" s="14" t="s">
        <v>167</v>
      </c>
      <c r="G7"/>
      <c r="H7"/>
    </row>
    <row r="8" spans="1:9" ht="7.5" customHeight="1">
      <c r="G8"/>
      <c r="H8"/>
    </row>
    <row r="9" spans="1:9" ht="19.5" customHeight="1">
      <c r="A9" s="69" t="s">
        <v>168</v>
      </c>
      <c r="B9" s="69"/>
      <c r="C9" s="69"/>
      <c r="D9" s="69"/>
      <c r="E9" s="69"/>
      <c r="F9" s="69"/>
      <c r="G9"/>
      <c r="H9"/>
    </row>
    <row r="10" spans="1:9" ht="19.5" customHeight="1">
      <c r="A10" s="64" t="s">
        <v>135</v>
      </c>
      <c r="B10" s="64" t="s">
        <v>16</v>
      </c>
      <c r="C10" s="64" t="s">
        <v>169</v>
      </c>
      <c r="D10" s="64" t="s">
        <v>170</v>
      </c>
      <c r="E10" s="64" t="s">
        <v>171</v>
      </c>
      <c r="F10" s="64" t="s">
        <v>172</v>
      </c>
      <c r="G10" s="28" t="s">
        <v>173</v>
      </c>
      <c r="H10" s="28" t="s">
        <v>174</v>
      </c>
    </row>
    <row r="11" spans="1:9" ht="18" customHeight="1">
      <c r="A11" s="42">
        <v>46173</v>
      </c>
      <c r="B11" s="23" t="s">
        <v>166</v>
      </c>
      <c r="C11" s="23"/>
      <c r="D11" s="43">
        <v>25</v>
      </c>
      <c r="E11" s="31"/>
      <c r="F11" s="24">
        <v>750</v>
      </c>
      <c r="G11" s="32" t="s">
        <v>175</v>
      </c>
    </row>
    <row r="12" spans="1:9" ht="18" customHeight="1">
      <c r="A12" s="44">
        <v>46173</v>
      </c>
      <c r="B12" s="25" t="s">
        <v>20</v>
      </c>
      <c r="C12" s="25"/>
      <c r="D12" s="45">
        <v>20</v>
      </c>
      <c r="E12" s="30">
        <v>0.1</v>
      </c>
      <c r="F12" s="26">
        <v>4180</v>
      </c>
      <c r="G12" s="32" t="s">
        <v>175</v>
      </c>
    </row>
    <row r="13" spans="1:9" ht="18" customHeight="1">
      <c r="A13" s="42">
        <v>46173</v>
      </c>
      <c r="B13" s="23" t="s">
        <v>21</v>
      </c>
      <c r="C13" s="23"/>
      <c r="D13" s="43">
        <v>20</v>
      </c>
      <c r="E13" s="30">
        <v>0.1</v>
      </c>
      <c r="F13" s="24">
        <v>4080</v>
      </c>
      <c r="G13" s="32" t="s">
        <v>175</v>
      </c>
      <c r="I13" s="34"/>
    </row>
    <row r="14" spans="1:9" ht="18" customHeight="1">
      <c r="A14" s="44">
        <v>46179</v>
      </c>
      <c r="B14" s="23" t="s">
        <v>166</v>
      </c>
      <c r="C14" s="25">
        <v>8</v>
      </c>
      <c r="D14" s="45">
        <v>50</v>
      </c>
      <c r="E14" s="30">
        <v>0.1</v>
      </c>
      <c r="F14" s="26">
        <v>400</v>
      </c>
      <c r="G14" s="32" t="s">
        <v>175</v>
      </c>
    </row>
    <row r="15" spans="1:9" ht="18" customHeight="1">
      <c r="A15" s="44">
        <v>46179</v>
      </c>
      <c r="B15" s="25" t="s">
        <v>20</v>
      </c>
      <c r="C15" s="23">
        <v>12</v>
      </c>
      <c r="D15" s="43">
        <v>25</v>
      </c>
      <c r="E15" s="30">
        <v>0.1</v>
      </c>
      <c r="F15" s="24">
        <f>300+H15</f>
        <v>440</v>
      </c>
      <c r="G15" s="32" t="s">
        <v>175</v>
      </c>
      <c r="H15" s="32">
        <v>140</v>
      </c>
    </row>
    <row r="16" spans="1:9" ht="18" customHeight="1">
      <c r="A16" s="44">
        <v>46179</v>
      </c>
      <c r="B16" s="23" t="s">
        <v>21</v>
      </c>
      <c r="C16" s="25">
        <v>12</v>
      </c>
      <c r="D16" s="45">
        <v>30</v>
      </c>
      <c r="E16" s="30">
        <v>0.1</v>
      </c>
      <c r="F16" s="26">
        <v>500</v>
      </c>
      <c r="G16" s="32" t="s">
        <v>175</v>
      </c>
      <c r="H16" s="32">
        <v>140</v>
      </c>
    </row>
    <row r="17" spans="1:8" ht="18" customHeight="1">
      <c r="A17" s="42">
        <v>46180</v>
      </c>
      <c r="B17" s="23" t="s">
        <v>21</v>
      </c>
      <c r="C17" s="23">
        <v>0</v>
      </c>
      <c r="D17" s="43"/>
      <c r="E17" s="30">
        <v>0.05</v>
      </c>
      <c r="F17" s="24">
        <v>760</v>
      </c>
      <c r="G17" s="32" t="s">
        <v>175</v>
      </c>
      <c r="H17" s="32">
        <v>260</v>
      </c>
    </row>
    <row r="18" spans="1:8" ht="18" customHeight="1">
      <c r="A18" s="42">
        <v>46180</v>
      </c>
      <c r="B18" s="25" t="s">
        <v>176</v>
      </c>
      <c r="C18" s="25">
        <v>0</v>
      </c>
      <c r="D18" s="45"/>
      <c r="E18" s="30">
        <v>2.5000000000000001E-2</v>
      </c>
      <c r="F18" s="26">
        <v>570</v>
      </c>
      <c r="G18" s="32" t="s">
        <v>175</v>
      </c>
      <c r="H18" s="32">
        <v>130</v>
      </c>
    </row>
    <row r="19" spans="1:8" ht="18" customHeight="1">
      <c r="A19" s="42">
        <v>46180</v>
      </c>
      <c r="B19" s="23" t="s">
        <v>166</v>
      </c>
      <c r="C19" s="23">
        <v>0</v>
      </c>
      <c r="D19" s="43">
        <v>0</v>
      </c>
      <c r="E19" s="29">
        <v>0.1</v>
      </c>
      <c r="F19" s="24">
        <v>520</v>
      </c>
      <c r="G19" s="32" t="s">
        <v>175</v>
      </c>
    </row>
    <row r="20" spans="1:8" ht="18" customHeight="1">
      <c r="A20" s="44"/>
      <c r="B20" s="25"/>
      <c r="C20" s="25"/>
      <c r="D20" s="45"/>
      <c r="E20" s="29"/>
      <c r="F20" s="26" t="str">
        <f t="shared" ref="F20:F42" si="0">IF(B20&lt;&gt;"",D20+E20,"")</f>
        <v/>
      </c>
    </row>
    <row r="21" spans="1:8" ht="18" customHeight="1">
      <c r="A21" s="42"/>
      <c r="B21" s="23"/>
      <c r="C21" s="23"/>
      <c r="D21" s="43"/>
      <c r="E21" s="29"/>
      <c r="F21" s="24" t="str">
        <f t="shared" si="0"/>
        <v/>
      </c>
    </row>
    <row r="22" spans="1:8" ht="18" customHeight="1">
      <c r="A22" s="44"/>
      <c r="B22" s="25"/>
      <c r="C22" s="25"/>
      <c r="D22" s="45"/>
      <c r="E22" s="29"/>
      <c r="F22" s="26" t="str">
        <f t="shared" si="0"/>
        <v/>
      </c>
    </row>
    <row r="23" spans="1:8" ht="18" customHeight="1">
      <c r="A23" s="42"/>
      <c r="B23" s="23"/>
      <c r="C23" s="23"/>
      <c r="D23" s="43"/>
      <c r="E23" s="29"/>
      <c r="F23" s="24" t="str">
        <f t="shared" si="0"/>
        <v/>
      </c>
    </row>
    <row r="24" spans="1:8" ht="18" customHeight="1">
      <c r="A24" s="44"/>
      <c r="B24" s="25"/>
      <c r="C24" s="25"/>
      <c r="D24" s="45"/>
      <c r="E24" s="29"/>
      <c r="F24" s="26" t="str">
        <f t="shared" si="0"/>
        <v/>
      </c>
    </row>
    <row r="25" spans="1:8" ht="18" customHeight="1">
      <c r="A25" s="42"/>
      <c r="B25" s="23"/>
      <c r="C25" s="23"/>
      <c r="D25" s="43"/>
      <c r="E25" s="29"/>
      <c r="F25" s="24" t="str">
        <f t="shared" si="0"/>
        <v/>
      </c>
    </row>
    <row r="26" spans="1:8" ht="18" customHeight="1">
      <c r="A26" s="44"/>
      <c r="B26" s="25"/>
      <c r="C26" s="25"/>
      <c r="D26" s="45"/>
      <c r="E26" s="29"/>
      <c r="F26" s="26" t="str">
        <f t="shared" si="0"/>
        <v/>
      </c>
    </row>
    <row r="27" spans="1:8" ht="18" customHeight="1">
      <c r="A27" s="42"/>
      <c r="B27" s="23"/>
      <c r="C27" s="23"/>
      <c r="D27" s="43"/>
      <c r="E27" s="29"/>
      <c r="F27" s="24" t="str">
        <f t="shared" si="0"/>
        <v/>
      </c>
    </row>
    <row r="28" spans="1:8" ht="18" customHeight="1">
      <c r="A28" s="44"/>
      <c r="B28" s="25"/>
      <c r="C28" s="25"/>
      <c r="D28" s="45"/>
      <c r="E28" s="29"/>
      <c r="F28" s="26" t="str">
        <f t="shared" si="0"/>
        <v/>
      </c>
    </row>
    <row r="29" spans="1:8" ht="18" customHeight="1">
      <c r="A29" s="42"/>
      <c r="B29" s="23"/>
      <c r="C29" s="23"/>
      <c r="D29" s="43"/>
      <c r="E29" s="29"/>
      <c r="F29" s="24" t="str">
        <f t="shared" si="0"/>
        <v/>
      </c>
    </row>
    <row r="30" spans="1:8" ht="18" customHeight="1">
      <c r="A30" s="44"/>
      <c r="B30" s="25"/>
      <c r="C30" s="25"/>
      <c r="D30" s="45"/>
      <c r="E30" s="29"/>
      <c r="F30" s="26" t="str">
        <f t="shared" si="0"/>
        <v/>
      </c>
    </row>
    <row r="31" spans="1:8" ht="18" customHeight="1">
      <c r="A31" s="42"/>
      <c r="B31" s="23"/>
      <c r="C31" s="23"/>
      <c r="D31" s="43"/>
      <c r="E31" s="29"/>
      <c r="F31" s="24" t="str">
        <f t="shared" si="0"/>
        <v/>
      </c>
    </row>
    <row r="32" spans="1:8" ht="18" customHeight="1">
      <c r="A32" s="44"/>
      <c r="B32" s="25"/>
      <c r="C32" s="25"/>
      <c r="D32" s="45"/>
      <c r="E32" s="29"/>
      <c r="F32" s="26" t="str">
        <f t="shared" si="0"/>
        <v/>
      </c>
    </row>
    <row r="33" spans="1:6" ht="18" customHeight="1">
      <c r="A33" s="42"/>
      <c r="B33" s="23"/>
      <c r="C33" s="23"/>
      <c r="D33" s="43"/>
      <c r="E33" s="29"/>
      <c r="F33" s="24" t="str">
        <f t="shared" si="0"/>
        <v/>
      </c>
    </row>
    <row r="34" spans="1:6" ht="18" customHeight="1">
      <c r="A34" s="44"/>
      <c r="B34" s="25"/>
      <c r="C34" s="25"/>
      <c r="D34" s="45"/>
      <c r="E34" s="29"/>
      <c r="F34" s="26" t="str">
        <f t="shared" si="0"/>
        <v/>
      </c>
    </row>
    <row r="35" spans="1:6" ht="18" customHeight="1">
      <c r="A35" s="42"/>
      <c r="B35" s="23"/>
      <c r="C35" s="23"/>
      <c r="D35" s="43"/>
      <c r="E35" s="29"/>
      <c r="F35" s="24" t="str">
        <f t="shared" si="0"/>
        <v/>
      </c>
    </row>
    <row r="36" spans="1:6" ht="18" customHeight="1">
      <c r="A36" s="44"/>
      <c r="B36" s="25"/>
      <c r="C36" s="25"/>
      <c r="D36" s="45"/>
      <c r="E36" s="29"/>
      <c r="F36" s="26" t="str">
        <f t="shared" si="0"/>
        <v/>
      </c>
    </row>
    <row r="37" spans="1:6" ht="18" customHeight="1">
      <c r="A37" s="42"/>
      <c r="B37" s="23"/>
      <c r="C37" s="23"/>
      <c r="D37" s="43"/>
      <c r="E37" s="29"/>
      <c r="F37" s="24" t="str">
        <f t="shared" si="0"/>
        <v/>
      </c>
    </row>
    <row r="38" spans="1:6" ht="18" customHeight="1">
      <c r="A38" s="44"/>
      <c r="B38" s="25"/>
      <c r="C38" s="25"/>
      <c r="D38" s="45"/>
      <c r="E38" s="29"/>
      <c r="F38" s="26" t="str">
        <f t="shared" si="0"/>
        <v/>
      </c>
    </row>
    <row r="39" spans="1:6" ht="18" customHeight="1">
      <c r="A39" s="42"/>
      <c r="B39" s="23"/>
      <c r="C39" s="23"/>
      <c r="D39" s="43"/>
      <c r="E39" s="29"/>
      <c r="F39" s="24" t="str">
        <f t="shared" si="0"/>
        <v/>
      </c>
    </row>
    <row r="40" spans="1:6" ht="18" customHeight="1">
      <c r="A40" s="44"/>
      <c r="B40" s="25"/>
      <c r="C40" s="25"/>
      <c r="D40" s="45"/>
      <c r="E40" s="29"/>
      <c r="F40" s="26" t="str">
        <f t="shared" si="0"/>
        <v/>
      </c>
    </row>
    <row r="41" spans="1:6" ht="18" customHeight="1">
      <c r="A41" s="42"/>
      <c r="B41" s="23"/>
      <c r="C41" s="23"/>
      <c r="D41" s="43"/>
      <c r="E41" s="29"/>
      <c r="F41" s="24" t="str">
        <f t="shared" si="0"/>
        <v/>
      </c>
    </row>
    <row r="42" spans="1:6" ht="18" customHeight="1">
      <c r="A42" s="44"/>
      <c r="B42" s="25"/>
      <c r="C42" s="25"/>
      <c r="D42" s="45"/>
      <c r="E42" s="29"/>
      <c r="F42" s="26" t="str">
        <f t="shared" si="0"/>
        <v/>
      </c>
    </row>
    <row r="43" spans="1:6" ht="18" customHeight="1">
      <c r="A43" s="42"/>
      <c r="B43" s="23"/>
      <c r="C43" s="23"/>
      <c r="D43" s="43"/>
      <c r="E43" s="29"/>
      <c r="F43" s="24" t="str">
        <f t="shared" ref="F43:F74" si="1">IF(B43&lt;&gt;"",D43+E43,"")</f>
        <v/>
      </c>
    </row>
    <row r="44" spans="1:6" ht="18" customHeight="1">
      <c r="A44" s="44"/>
      <c r="B44" s="25"/>
      <c r="C44" s="25"/>
      <c r="D44" s="45"/>
      <c r="E44" s="29"/>
      <c r="F44" s="26" t="str">
        <f t="shared" si="1"/>
        <v/>
      </c>
    </row>
    <row r="45" spans="1:6" ht="18" customHeight="1">
      <c r="A45" s="42"/>
      <c r="B45" s="23"/>
      <c r="C45" s="23"/>
      <c r="D45" s="43"/>
      <c r="E45" s="29"/>
      <c r="F45" s="24" t="str">
        <f t="shared" si="1"/>
        <v/>
      </c>
    </row>
    <row r="46" spans="1:6" ht="18" customHeight="1">
      <c r="A46" s="44"/>
      <c r="B46" s="25"/>
      <c r="C46" s="25"/>
      <c r="D46" s="45"/>
      <c r="E46" s="29"/>
      <c r="F46" s="26" t="str">
        <f t="shared" si="1"/>
        <v/>
      </c>
    </row>
    <row r="47" spans="1:6" ht="18" customHeight="1">
      <c r="A47" s="42"/>
      <c r="B47" s="23"/>
      <c r="C47" s="23"/>
      <c r="D47" s="43"/>
      <c r="E47" s="29"/>
      <c r="F47" s="24" t="str">
        <f t="shared" si="1"/>
        <v/>
      </c>
    </row>
    <row r="48" spans="1:6" ht="18" customHeight="1">
      <c r="A48" s="44"/>
      <c r="B48" s="25"/>
      <c r="C48" s="25"/>
      <c r="D48" s="45"/>
      <c r="E48" s="29"/>
      <c r="F48" s="26" t="str">
        <f t="shared" si="1"/>
        <v/>
      </c>
    </row>
    <row r="49" spans="1:6" ht="18" customHeight="1">
      <c r="A49" s="42"/>
      <c r="B49" s="23"/>
      <c r="C49" s="23"/>
      <c r="D49" s="43"/>
      <c r="E49" s="29"/>
      <c r="F49" s="24" t="str">
        <f t="shared" si="1"/>
        <v/>
      </c>
    </row>
    <row r="50" spans="1:6" ht="18" customHeight="1">
      <c r="A50" s="44"/>
      <c r="B50" s="25"/>
      <c r="C50" s="25"/>
      <c r="D50" s="45"/>
      <c r="E50" s="29"/>
      <c r="F50" s="26" t="str">
        <f t="shared" si="1"/>
        <v/>
      </c>
    </row>
    <row r="51" spans="1:6" ht="18" customHeight="1">
      <c r="A51" s="42"/>
      <c r="B51" s="23"/>
      <c r="C51" s="23"/>
      <c r="D51" s="43"/>
      <c r="E51" s="29"/>
      <c r="F51" s="24" t="str">
        <f t="shared" si="1"/>
        <v/>
      </c>
    </row>
    <row r="52" spans="1:6" ht="18" customHeight="1">
      <c r="A52" s="44"/>
      <c r="B52" s="25"/>
      <c r="C52" s="25"/>
      <c r="D52" s="45"/>
      <c r="E52" s="29"/>
      <c r="F52" s="26" t="str">
        <f t="shared" si="1"/>
        <v/>
      </c>
    </row>
    <row r="53" spans="1:6" ht="18" customHeight="1">
      <c r="A53" s="42"/>
      <c r="B53" s="23"/>
      <c r="C53" s="23"/>
      <c r="D53" s="43"/>
      <c r="E53" s="29"/>
      <c r="F53" s="24" t="str">
        <f t="shared" si="1"/>
        <v/>
      </c>
    </row>
    <row r="54" spans="1:6" ht="18" customHeight="1">
      <c r="A54" s="44"/>
      <c r="B54" s="25"/>
      <c r="C54" s="25"/>
      <c r="D54" s="45"/>
      <c r="E54" s="29"/>
      <c r="F54" s="26" t="str">
        <f t="shared" si="1"/>
        <v/>
      </c>
    </row>
    <row r="55" spans="1:6" ht="18" customHeight="1">
      <c r="A55" s="42"/>
      <c r="B55" s="23"/>
      <c r="C55" s="23"/>
      <c r="D55" s="43"/>
      <c r="E55" s="29"/>
      <c r="F55" s="24" t="str">
        <f t="shared" si="1"/>
        <v/>
      </c>
    </row>
    <row r="56" spans="1:6" ht="18" customHeight="1">
      <c r="A56" s="44"/>
      <c r="B56" s="25"/>
      <c r="C56" s="25"/>
      <c r="D56" s="45"/>
      <c r="E56" s="29"/>
      <c r="F56" s="26" t="str">
        <f t="shared" si="1"/>
        <v/>
      </c>
    </row>
    <row r="57" spans="1:6" ht="18" customHeight="1">
      <c r="A57" s="42"/>
      <c r="B57" s="23"/>
      <c r="C57" s="23"/>
      <c r="D57" s="43"/>
      <c r="E57" s="29"/>
      <c r="F57" s="24" t="str">
        <f t="shared" si="1"/>
        <v/>
      </c>
    </row>
    <row r="58" spans="1:6" ht="18" customHeight="1">
      <c r="A58" s="44"/>
      <c r="B58" s="25"/>
      <c r="C58" s="25"/>
      <c r="D58" s="45"/>
      <c r="E58" s="29"/>
      <c r="F58" s="26" t="str">
        <f t="shared" si="1"/>
        <v/>
      </c>
    </row>
    <row r="59" spans="1:6" ht="18" customHeight="1">
      <c r="A59" s="42"/>
      <c r="B59" s="23"/>
      <c r="C59" s="23"/>
      <c r="D59" s="43"/>
      <c r="E59" s="29"/>
      <c r="F59" s="24" t="str">
        <f t="shared" si="1"/>
        <v/>
      </c>
    </row>
    <row r="60" spans="1:6" ht="18" customHeight="1">
      <c r="A60" s="44"/>
      <c r="B60" s="25"/>
      <c r="C60" s="25"/>
      <c r="D60" s="45"/>
      <c r="E60" s="29"/>
      <c r="F60" s="26" t="str">
        <f t="shared" si="1"/>
        <v/>
      </c>
    </row>
    <row r="61" spans="1:6" ht="18" customHeight="1">
      <c r="A61" s="42"/>
      <c r="B61" s="23"/>
      <c r="C61" s="23"/>
      <c r="D61" s="43"/>
      <c r="E61" s="29"/>
      <c r="F61" s="24" t="str">
        <f t="shared" si="1"/>
        <v/>
      </c>
    </row>
    <row r="62" spans="1:6" ht="18" customHeight="1">
      <c r="A62" s="44"/>
      <c r="B62" s="25"/>
      <c r="C62" s="25"/>
      <c r="D62" s="45"/>
      <c r="E62" s="29"/>
      <c r="F62" s="26" t="str">
        <f t="shared" si="1"/>
        <v/>
      </c>
    </row>
    <row r="63" spans="1:6" ht="18" customHeight="1">
      <c r="A63" s="42"/>
      <c r="B63" s="23"/>
      <c r="C63" s="23"/>
      <c r="D63" s="43"/>
      <c r="E63" s="29"/>
      <c r="F63" s="24" t="str">
        <f t="shared" si="1"/>
        <v/>
      </c>
    </row>
    <row r="64" spans="1:6" ht="18" customHeight="1">
      <c r="A64" s="44"/>
      <c r="B64" s="25"/>
      <c r="C64" s="25"/>
      <c r="D64" s="45"/>
      <c r="E64" s="29"/>
      <c r="F64" s="26" t="str">
        <f t="shared" si="1"/>
        <v/>
      </c>
    </row>
    <row r="65" spans="1:6" ht="18" customHeight="1">
      <c r="A65" s="42"/>
      <c r="B65" s="23"/>
      <c r="C65" s="23"/>
      <c r="D65" s="43"/>
      <c r="E65" s="29"/>
      <c r="F65" s="24" t="str">
        <f t="shared" si="1"/>
        <v/>
      </c>
    </row>
    <row r="66" spans="1:6" ht="18" customHeight="1">
      <c r="A66" s="44"/>
      <c r="B66" s="25"/>
      <c r="C66" s="25"/>
      <c r="D66" s="45"/>
      <c r="E66" s="29"/>
      <c r="F66" s="26" t="str">
        <f t="shared" si="1"/>
        <v/>
      </c>
    </row>
    <row r="67" spans="1:6" ht="18" customHeight="1">
      <c r="A67" s="42"/>
      <c r="B67" s="23"/>
      <c r="C67" s="23"/>
      <c r="D67" s="43"/>
      <c r="E67" s="29"/>
      <c r="F67" s="24" t="str">
        <f t="shared" si="1"/>
        <v/>
      </c>
    </row>
    <row r="68" spans="1:6" ht="18" customHeight="1">
      <c r="A68" s="44"/>
      <c r="B68" s="25"/>
      <c r="C68" s="25"/>
      <c r="D68" s="45"/>
      <c r="E68" s="29"/>
      <c r="F68" s="26" t="str">
        <f t="shared" si="1"/>
        <v/>
      </c>
    </row>
    <row r="69" spans="1:6" ht="18" customHeight="1">
      <c r="A69" s="42"/>
      <c r="B69" s="23"/>
      <c r="C69" s="23"/>
      <c r="D69" s="43"/>
      <c r="E69" s="29"/>
      <c r="F69" s="24" t="str">
        <f t="shared" si="1"/>
        <v/>
      </c>
    </row>
    <row r="70" spans="1:6" ht="18" customHeight="1">
      <c r="A70" s="44"/>
      <c r="B70" s="25"/>
      <c r="C70" s="25"/>
      <c r="D70" s="45"/>
      <c r="E70" s="29"/>
      <c r="F70" s="26" t="str">
        <f t="shared" si="1"/>
        <v/>
      </c>
    </row>
    <row r="71" spans="1:6" ht="18" customHeight="1">
      <c r="A71" s="42"/>
      <c r="B71" s="23"/>
      <c r="C71" s="23"/>
      <c r="D71" s="43"/>
      <c r="E71" s="29"/>
      <c r="F71" s="24" t="str">
        <f t="shared" si="1"/>
        <v/>
      </c>
    </row>
    <row r="72" spans="1:6" ht="18" customHeight="1">
      <c r="A72" s="44"/>
      <c r="B72" s="25"/>
      <c r="C72" s="25"/>
      <c r="D72" s="45"/>
      <c r="E72" s="29"/>
      <c r="F72" s="26" t="str">
        <f t="shared" si="1"/>
        <v/>
      </c>
    </row>
    <row r="73" spans="1:6" ht="18" customHeight="1">
      <c r="A73" s="42"/>
      <c r="B73" s="23"/>
      <c r="C73" s="23"/>
      <c r="D73" s="43"/>
      <c r="E73" s="29"/>
      <c r="F73" s="24" t="str">
        <f t="shared" si="1"/>
        <v/>
      </c>
    </row>
    <row r="74" spans="1:6" ht="18" customHeight="1">
      <c r="A74" s="44"/>
      <c r="B74" s="25"/>
      <c r="C74" s="25"/>
      <c r="D74" s="45"/>
      <c r="E74" s="29"/>
      <c r="F74" s="26" t="str">
        <f t="shared" si="1"/>
        <v/>
      </c>
    </row>
    <row r="75" spans="1:6" ht="18" customHeight="1">
      <c r="A75" s="42"/>
      <c r="B75" s="23"/>
      <c r="C75" s="23"/>
      <c r="D75" s="43"/>
      <c r="E75" s="29"/>
      <c r="F75" s="24" t="str">
        <f t="shared" ref="F75:F106" si="2">IF(B75&lt;&gt;"",D75+E75,"")</f>
        <v/>
      </c>
    </row>
    <row r="76" spans="1:6" ht="18" customHeight="1">
      <c r="A76" s="44"/>
      <c r="B76" s="25"/>
      <c r="C76" s="25"/>
      <c r="D76" s="45"/>
      <c r="E76" s="29"/>
      <c r="F76" s="26" t="str">
        <f t="shared" si="2"/>
        <v/>
      </c>
    </row>
    <row r="77" spans="1:6" ht="18" customHeight="1">
      <c r="A77" s="42"/>
      <c r="B77" s="23"/>
      <c r="C77" s="23"/>
      <c r="D77" s="43"/>
      <c r="E77" s="29"/>
      <c r="F77" s="24" t="str">
        <f t="shared" si="2"/>
        <v/>
      </c>
    </row>
    <row r="78" spans="1:6" ht="18" customHeight="1">
      <c r="A78" s="44"/>
      <c r="B78" s="25"/>
      <c r="C78" s="25"/>
      <c r="D78" s="45"/>
      <c r="E78" s="29"/>
      <c r="F78" s="26" t="str">
        <f t="shared" si="2"/>
        <v/>
      </c>
    </row>
    <row r="79" spans="1:6" ht="18" customHeight="1">
      <c r="A79" s="42"/>
      <c r="B79" s="23"/>
      <c r="C79" s="23"/>
      <c r="D79" s="43"/>
      <c r="E79" s="29"/>
      <c r="F79" s="24" t="str">
        <f t="shared" si="2"/>
        <v/>
      </c>
    </row>
    <row r="80" spans="1:6" ht="18" customHeight="1">
      <c r="A80" s="44"/>
      <c r="B80" s="25"/>
      <c r="C80" s="25"/>
      <c r="D80" s="45"/>
      <c r="E80" s="29"/>
      <c r="F80" s="26" t="str">
        <f t="shared" si="2"/>
        <v/>
      </c>
    </row>
    <row r="81" spans="1:6" ht="18" customHeight="1">
      <c r="A81" s="42"/>
      <c r="B81" s="23"/>
      <c r="C81" s="23"/>
      <c r="D81" s="43"/>
      <c r="E81" s="29"/>
      <c r="F81" s="24" t="str">
        <f t="shared" si="2"/>
        <v/>
      </c>
    </row>
    <row r="82" spans="1:6" ht="18" customHeight="1">
      <c r="A82" s="44"/>
      <c r="B82" s="25"/>
      <c r="C82" s="25"/>
      <c r="D82" s="45"/>
      <c r="E82" s="29"/>
      <c r="F82" s="26" t="str">
        <f t="shared" si="2"/>
        <v/>
      </c>
    </row>
    <row r="83" spans="1:6" ht="18" customHeight="1">
      <c r="A83" s="42"/>
      <c r="B83" s="23"/>
      <c r="C83" s="23"/>
      <c r="D83" s="43"/>
      <c r="E83" s="29"/>
      <c r="F83" s="24" t="str">
        <f t="shared" si="2"/>
        <v/>
      </c>
    </row>
    <row r="84" spans="1:6" ht="18" customHeight="1">
      <c r="A84" s="44"/>
      <c r="B84" s="25"/>
      <c r="C84" s="25"/>
      <c r="D84" s="45"/>
      <c r="E84" s="29"/>
      <c r="F84" s="26" t="str">
        <f t="shared" si="2"/>
        <v/>
      </c>
    </row>
    <row r="85" spans="1:6" ht="18" customHeight="1">
      <c r="A85" s="42"/>
      <c r="B85" s="23"/>
      <c r="C85" s="23"/>
      <c r="D85" s="43"/>
      <c r="E85" s="29"/>
      <c r="F85" s="24" t="str">
        <f t="shared" si="2"/>
        <v/>
      </c>
    </row>
    <row r="86" spans="1:6" ht="18" customHeight="1">
      <c r="A86" s="44"/>
      <c r="B86" s="25"/>
      <c r="C86" s="25"/>
      <c r="D86" s="45"/>
      <c r="E86" s="29"/>
      <c r="F86" s="26" t="str">
        <f t="shared" si="2"/>
        <v/>
      </c>
    </row>
    <row r="87" spans="1:6" ht="18" customHeight="1">
      <c r="A87" s="42"/>
      <c r="B87" s="23"/>
      <c r="C87" s="23"/>
      <c r="D87" s="43"/>
      <c r="E87" s="29"/>
      <c r="F87" s="24" t="str">
        <f t="shared" si="2"/>
        <v/>
      </c>
    </row>
    <row r="88" spans="1:6" ht="18" customHeight="1">
      <c r="A88" s="44"/>
      <c r="B88" s="25"/>
      <c r="C88" s="25"/>
      <c r="D88" s="45"/>
      <c r="E88" s="29"/>
      <c r="F88" s="26" t="str">
        <f t="shared" si="2"/>
        <v/>
      </c>
    </row>
    <row r="89" spans="1:6" ht="18" customHeight="1">
      <c r="A89" s="42"/>
      <c r="B89" s="23"/>
      <c r="C89" s="23"/>
      <c r="D89" s="43"/>
      <c r="E89" s="29"/>
      <c r="F89" s="24" t="str">
        <f t="shared" si="2"/>
        <v/>
      </c>
    </row>
    <row r="90" spans="1:6" ht="18" customHeight="1">
      <c r="A90" s="44"/>
      <c r="B90" s="25"/>
      <c r="C90" s="25"/>
      <c r="D90" s="45"/>
      <c r="E90" s="29"/>
      <c r="F90" s="26" t="str">
        <f t="shared" si="2"/>
        <v/>
      </c>
    </row>
    <row r="91" spans="1:6" ht="18" customHeight="1">
      <c r="A91" s="42"/>
      <c r="B91" s="23"/>
      <c r="C91" s="23"/>
      <c r="D91" s="43"/>
      <c r="E91" s="29"/>
      <c r="F91" s="24" t="str">
        <f t="shared" si="2"/>
        <v/>
      </c>
    </row>
    <row r="92" spans="1:6" ht="18" customHeight="1">
      <c r="A92" s="44"/>
      <c r="B92" s="25"/>
      <c r="C92" s="25"/>
      <c r="D92" s="45"/>
      <c r="E92" s="29"/>
      <c r="F92" s="26" t="str">
        <f t="shared" si="2"/>
        <v/>
      </c>
    </row>
    <row r="93" spans="1:6" ht="18" customHeight="1">
      <c r="A93" s="42"/>
      <c r="B93" s="23"/>
      <c r="C93" s="23"/>
      <c r="D93" s="43"/>
      <c r="E93" s="29"/>
      <c r="F93" s="24" t="str">
        <f t="shared" si="2"/>
        <v/>
      </c>
    </row>
    <row r="94" spans="1:6" ht="18" customHeight="1">
      <c r="A94" s="44"/>
      <c r="B94" s="25"/>
      <c r="C94" s="25"/>
      <c r="D94" s="45"/>
      <c r="E94" s="29"/>
      <c r="F94" s="26" t="str">
        <f t="shared" si="2"/>
        <v/>
      </c>
    </row>
    <row r="95" spans="1:6" ht="18" customHeight="1">
      <c r="A95" s="42"/>
      <c r="B95" s="23"/>
      <c r="C95" s="23"/>
      <c r="D95" s="43"/>
      <c r="E95" s="29"/>
      <c r="F95" s="24" t="str">
        <f t="shared" si="2"/>
        <v/>
      </c>
    </row>
    <row r="96" spans="1:6" ht="18" customHeight="1">
      <c r="A96" s="44"/>
      <c r="B96" s="25"/>
      <c r="C96" s="25"/>
      <c r="D96" s="45"/>
      <c r="E96" s="29"/>
      <c r="F96" s="26" t="str">
        <f t="shared" si="2"/>
        <v/>
      </c>
    </row>
    <row r="97" spans="1:6" ht="18" customHeight="1">
      <c r="A97" s="42"/>
      <c r="B97" s="23"/>
      <c r="C97" s="23"/>
      <c r="D97" s="43"/>
      <c r="E97" s="29"/>
      <c r="F97" s="24" t="str">
        <f t="shared" si="2"/>
        <v/>
      </c>
    </row>
    <row r="98" spans="1:6" ht="18" customHeight="1">
      <c r="A98" s="44"/>
      <c r="B98" s="25"/>
      <c r="C98" s="25"/>
      <c r="D98" s="45"/>
      <c r="E98" s="29"/>
      <c r="F98" s="26" t="str">
        <f t="shared" si="2"/>
        <v/>
      </c>
    </row>
    <row r="99" spans="1:6" ht="18" customHeight="1">
      <c r="A99" s="42"/>
      <c r="B99" s="23"/>
      <c r="C99" s="23"/>
      <c r="D99" s="43"/>
      <c r="E99" s="29"/>
      <c r="F99" s="24" t="str">
        <f t="shared" si="2"/>
        <v/>
      </c>
    </row>
    <row r="100" spans="1:6" ht="18" customHeight="1">
      <c r="A100" s="44"/>
      <c r="B100" s="25"/>
      <c r="C100" s="25"/>
      <c r="D100" s="45"/>
      <c r="E100" s="29"/>
      <c r="F100" s="26" t="str">
        <f t="shared" si="2"/>
        <v/>
      </c>
    </row>
    <row r="101" spans="1:6" ht="18" customHeight="1">
      <c r="A101" s="42"/>
      <c r="B101" s="23"/>
      <c r="C101" s="23"/>
      <c r="D101" s="43"/>
      <c r="E101" s="29"/>
      <c r="F101" s="24" t="str">
        <f t="shared" si="2"/>
        <v/>
      </c>
    </row>
    <row r="102" spans="1:6" ht="18" customHeight="1">
      <c r="A102" s="44"/>
      <c r="B102" s="25"/>
      <c r="C102" s="25"/>
      <c r="D102" s="45"/>
      <c r="E102" s="29"/>
      <c r="F102" s="26" t="str">
        <f t="shared" si="2"/>
        <v/>
      </c>
    </row>
    <row r="103" spans="1:6" ht="18" customHeight="1">
      <c r="A103" s="42"/>
      <c r="B103" s="23"/>
      <c r="C103" s="23"/>
      <c r="D103" s="43"/>
      <c r="E103" s="29"/>
      <c r="F103" s="24" t="str">
        <f t="shared" si="2"/>
        <v/>
      </c>
    </row>
    <row r="104" spans="1:6" ht="18" customHeight="1">
      <c r="A104" s="44"/>
      <c r="B104" s="25"/>
      <c r="C104" s="25"/>
      <c r="D104" s="45"/>
      <c r="E104" s="29"/>
      <c r="F104" s="26" t="str">
        <f t="shared" si="2"/>
        <v/>
      </c>
    </row>
    <row r="105" spans="1:6" ht="18" customHeight="1">
      <c r="A105" s="42"/>
      <c r="B105" s="23"/>
      <c r="C105" s="23"/>
      <c r="D105" s="43"/>
      <c r="E105" s="29"/>
      <c r="F105" s="24" t="str">
        <f t="shared" si="2"/>
        <v/>
      </c>
    </row>
    <row r="106" spans="1:6" ht="18" customHeight="1">
      <c r="A106" s="44"/>
      <c r="B106" s="25"/>
      <c r="C106" s="25"/>
      <c r="D106" s="45"/>
      <c r="E106" s="29"/>
      <c r="F106" s="26" t="str">
        <f t="shared" si="2"/>
        <v/>
      </c>
    </row>
    <row r="107" spans="1:6" ht="18" customHeight="1">
      <c r="A107" s="42"/>
      <c r="B107" s="23"/>
      <c r="C107" s="23"/>
      <c r="D107" s="43"/>
      <c r="E107" s="29"/>
      <c r="F107" s="24" t="str">
        <f t="shared" ref="F107:F110" si="3">IF(B107&lt;&gt;"",D107+E107,"")</f>
        <v/>
      </c>
    </row>
    <row r="108" spans="1:6" ht="18" customHeight="1">
      <c r="A108" s="44"/>
      <c r="B108" s="25"/>
      <c r="C108" s="25"/>
      <c r="D108" s="45"/>
      <c r="E108" s="29"/>
      <c r="F108" s="26" t="str">
        <f t="shared" si="3"/>
        <v/>
      </c>
    </row>
    <row r="109" spans="1:6" ht="18" customHeight="1">
      <c r="A109" s="42"/>
      <c r="B109" s="23"/>
      <c r="C109" s="23"/>
      <c r="D109" s="43"/>
      <c r="E109" s="29"/>
      <c r="F109" s="24" t="str">
        <f t="shared" si="3"/>
        <v/>
      </c>
    </row>
    <row r="110" spans="1:6" ht="18" customHeight="1">
      <c r="A110" s="44"/>
      <c r="B110" s="25"/>
      <c r="C110" s="25"/>
      <c r="D110" s="45"/>
      <c r="E110" s="29"/>
      <c r="F110" s="26" t="str">
        <f t="shared" si="3"/>
        <v/>
      </c>
    </row>
    <row r="111" spans="1:6" ht="21.75" customHeight="1">
      <c r="A111" s="81" t="s">
        <v>50</v>
      </c>
      <c r="B111" s="81"/>
      <c r="C111" s="81"/>
      <c r="D111" s="27">
        <f>SUM(D11:D110)</f>
        <v>170</v>
      </c>
      <c r="E111" s="29">
        <f>SUM(E11:E110)</f>
        <v>0.67500000000000004</v>
      </c>
      <c r="F111" s="27">
        <f>SUM(F11:F110)</f>
        <v>12200</v>
      </c>
    </row>
  </sheetData>
  <mergeCells count="4">
    <mergeCell ref="A1:F1"/>
    <mergeCell ref="A2:D2"/>
    <mergeCell ref="A9:F9"/>
    <mergeCell ref="A111:C1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2026-06-07T16:11:45Z</dcterms:created>
  <dcterms:modified xsi:type="dcterms:W3CDTF">2026-06-15T16:10:46Z</dcterms:modified>
  <cp:category/>
  <cp:contentStatus/>
</cp:coreProperties>
</file>